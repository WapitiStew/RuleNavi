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Workplace\WonderStewEngine_Developper\RuleNavi\docs\"/>
    </mc:Choice>
  </mc:AlternateContent>
  <xr:revisionPtr revIDLastSave="0" documentId="13_ncr:1_{D6B39A74-500C-4F1C-BB7A-2194F5B80FD3}" xr6:coauthVersionLast="47" xr6:coauthVersionMax="47" xr10:uidLastSave="{00000000-0000-0000-0000-000000000000}"/>
  <bookViews>
    <workbookView xWindow="43080" yWindow="-120" windowWidth="29040" windowHeight="15720" tabRatio="803" activeTab="1" xr2:uid="{0E140ECB-7E7B-4702-8682-6825D1F746A4}"/>
  </bookViews>
  <sheets>
    <sheet name="&lt;SQL&gt; " sheetId="31" r:id="rId1"/>
    <sheet name="Table&gt;" sheetId="25" r:id="rId2"/>
    <sheet name="tbl_rules" sheetId="19" r:id="rId3"/>
    <sheet name="tbl_cat_type" sheetId="26" r:id="rId4"/>
    <sheet name="tbl_cat_major" sheetId="27" r:id="rId5"/>
    <sheet name="tbl_cat_sub" sheetId="28" r:id="rId6"/>
    <sheet name="tbl_cat_state" sheetId="29" r:id="rId7"/>
    <sheet name="tbl_request" sheetId="30" r:id="rId8"/>
    <sheet name="tbl_cat_request" sheetId="37" r:id="rId9"/>
    <sheet name="tbl_cat_phase" sheetId="39" r:id="rId10"/>
    <sheet name="tbl_scp_sales_region" sheetId="32" r:id="rId11"/>
    <sheet name="tbl_scp_product_genre" sheetId="33" r:id="rId12"/>
    <sheet name="tbl_scp_service_genre" sheetId="34" r:id="rId13"/>
    <sheet name="tbl_scp_equipment" sheetId="35" r:id="rId14"/>
    <sheet name="tbl_scp_pii" sheetId="40" r:id="rId15"/>
    <sheet name="tbl_scp_design_domain" sheetId="36" r:id="rId16"/>
  </sheets>
  <externalReferences>
    <externalReference r:id="rId17"/>
  </externalReferences>
  <definedNames>
    <definedName name="_xlnm._FilterDatabase" localSheetId="1" hidden="1">'Table&gt;'!$B$7:$R$185</definedName>
    <definedName name="Display">[1]!テーブル3[Display]</definedName>
    <definedName name="Elec">[1]!テーブル7[Elec]</definedName>
    <definedName name="Material">[1]!テーブル5[Material]</definedName>
    <definedName name="Mecha">[1]!テーブル6[Mecha]</definedName>
    <definedName name="Package">[1]!テーブル2[Package]</definedName>
    <definedName name="Product">[1]!テーブル4[Product]</definedName>
    <definedName name="SQLリスト">SQL[SQL Type]</definedName>
    <definedName name="分類1">[1]!テーブル1[分類１]</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7" i="25" l="1"/>
  <c r="M77" i="25" s="1" a="1"/>
  <c r="M77" i="25" s="1"/>
  <c r="B78" i="25"/>
  <c r="M78" i="25" s="1" a="1"/>
  <c r="M78" i="25" s="1"/>
  <c r="O78" i="25" l="1"/>
  <c r="O77" i="25"/>
  <c r="B132" i="25" l="1"/>
  <c r="M132" i="25" s="1" a="1"/>
  <c r="M132" i="25" s="1"/>
  <c r="O132" i="25" s="1"/>
  <c r="B131" i="25"/>
  <c r="M131" i="25" s="1" a="1"/>
  <c r="M131" i="25" s="1"/>
  <c r="O131" i="25" s="1"/>
  <c r="B130" i="25"/>
  <c r="M130" i="25" s="1" a="1"/>
  <c r="M130" i="25" s="1"/>
  <c r="O130" i="25" s="1"/>
  <c r="M40" i="25" a="1"/>
  <c r="M40" i="25" s="1"/>
  <c r="O40" i="25" s="1"/>
  <c r="M28" i="25" a="1"/>
  <c r="M28" i="25" s="1"/>
  <c r="O28" i="25" s="1"/>
  <c r="M16" i="25" a="1"/>
  <c r="M16" i="25" s="1"/>
  <c r="O16" i="25" s="1"/>
  <c r="O9" i="25"/>
  <c r="N156" i="25"/>
  <c r="N146" i="25"/>
  <c r="N136" i="25"/>
  <c r="N126" i="25"/>
  <c r="N116" i="25"/>
  <c r="N105" i="25"/>
  <c r="N93" i="25"/>
  <c r="N83" i="25"/>
  <c r="N70" i="25"/>
  <c r="N55" i="25"/>
  <c r="N45" i="25"/>
  <c r="N32" i="25"/>
  <c r="N20" i="25"/>
  <c r="N9" i="25"/>
  <c r="O156" i="25"/>
  <c r="O146" i="25"/>
  <c r="O136" i="25"/>
  <c r="O126" i="25"/>
  <c r="O116" i="25"/>
  <c r="O105" i="25"/>
  <c r="O93" i="25"/>
  <c r="O83" i="25"/>
  <c r="O70" i="25"/>
  <c r="O55" i="25"/>
  <c r="O45" i="25"/>
  <c r="O32" i="25"/>
  <c r="O20" i="25"/>
  <c r="B141" i="25"/>
  <c r="M141" i="25" s="1" a="1"/>
  <c r="M141" i="25" s="1"/>
  <c r="O141" i="25" s="1"/>
  <c r="B142" i="25"/>
  <c r="M142" i="25" s="1" a="1"/>
  <c r="M142" i="25" s="1"/>
  <c r="O142" i="25" s="1"/>
  <c r="B140" i="25"/>
  <c r="P140" i="25" s="1"/>
  <c r="B112" i="25"/>
  <c r="M112" i="25" s="1" a="1"/>
  <c r="M112" i="25" s="1"/>
  <c r="O112" i="25" s="1"/>
  <c r="G151" i="25"/>
  <c r="B151" i="25"/>
  <c r="M151" i="25" s="1" a="1"/>
  <c r="M151" i="25" s="1"/>
  <c r="O151" i="25" s="1"/>
  <c r="B152" i="25"/>
  <c r="M152" i="25" s="1" a="1"/>
  <c r="M152" i="25" s="1"/>
  <c r="O152" i="25" s="1"/>
  <c r="B150" i="25"/>
  <c r="B110" i="25"/>
  <c r="M110" i="25" s="1" a="1"/>
  <c r="M110" i="25" s="1"/>
  <c r="O110" i="25" s="1"/>
  <c r="B111" i="25"/>
  <c r="M111" i="25" s="1" a="1"/>
  <c r="M111" i="25" s="1"/>
  <c r="O111" i="25" s="1"/>
  <c r="B109" i="25"/>
  <c r="M109" i="25" s="1" a="1"/>
  <c r="M109" i="25" s="1"/>
  <c r="O109" i="25" s="1"/>
  <c r="B121" i="25"/>
  <c r="M121" i="25" s="1" a="1"/>
  <c r="M121" i="25" s="1"/>
  <c r="O121" i="25" s="1"/>
  <c r="B122" i="25"/>
  <c r="M122" i="25" s="1" a="1"/>
  <c r="M122" i="25" s="1"/>
  <c r="O122" i="25" s="1"/>
  <c r="B120" i="25"/>
  <c r="M120" i="25" s="1" a="1"/>
  <c r="M120" i="25" s="1"/>
  <c r="O120" i="25" s="1"/>
  <c r="B87" i="25"/>
  <c r="A174" i="25" s="1"/>
  <c r="B98" i="25"/>
  <c r="M98" i="25" s="1" a="1"/>
  <c r="M98" i="25" s="1"/>
  <c r="O98" i="25" s="1"/>
  <c r="B99" i="25"/>
  <c r="M99" i="25" s="1" a="1"/>
  <c r="M99" i="25" s="1"/>
  <c r="O99" i="25" s="1"/>
  <c r="B100" i="25"/>
  <c r="M100" i="25" s="1" a="1"/>
  <c r="M100" i="25" s="1"/>
  <c r="B101" i="25"/>
  <c r="M101" i="25" s="1" a="1"/>
  <c r="M101" i="25" s="1"/>
  <c r="B97" i="25"/>
  <c r="M97" i="25" s="1" a="1"/>
  <c r="M97" i="25" s="1"/>
  <c r="O97" i="25" s="1"/>
  <c r="B88" i="25"/>
  <c r="M88" i="25" s="1" a="1"/>
  <c r="M88" i="25" s="1"/>
  <c r="O88" i="25" s="1"/>
  <c r="B89" i="25"/>
  <c r="M89" i="25" s="1" a="1"/>
  <c r="M89" i="25" s="1"/>
  <c r="O89" i="25" s="1"/>
  <c r="B75" i="25"/>
  <c r="M75" i="25" s="1" a="1"/>
  <c r="M75" i="25" s="1"/>
  <c r="O75" i="25" s="1"/>
  <c r="B76" i="25"/>
  <c r="M76" i="25" s="1" a="1"/>
  <c r="M76" i="25" s="1"/>
  <c r="O76" i="25" s="1"/>
  <c r="B74" i="25"/>
  <c r="M74" i="25" s="1" a="1"/>
  <c r="M74" i="25" s="1"/>
  <c r="O74" i="25" s="1"/>
  <c r="I13" i="25"/>
  <c r="E8" i="31"/>
  <c r="E7" i="31"/>
  <c r="E6" i="31"/>
  <c r="G75" i="25"/>
  <c r="B180" i="25"/>
  <c r="M180" i="25" s="1" a="1"/>
  <c r="M180" i="25" s="1"/>
  <c r="O180" i="25" s="1"/>
  <c r="B181" i="25"/>
  <c r="M181" i="25" s="1" a="1"/>
  <c r="M181" i="25" s="1"/>
  <c r="O181" i="25" s="1"/>
  <c r="B182" i="25"/>
  <c r="M182" i="25" s="1" a="1"/>
  <c r="M182" i="25" s="1"/>
  <c r="O182" i="25" s="1"/>
  <c r="B175" i="25"/>
  <c r="M175" i="25" s="1" a="1"/>
  <c r="M175" i="25" s="1"/>
  <c r="O175" i="25" s="1"/>
  <c r="B176" i="25"/>
  <c r="M176" i="25" s="1" a="1"/>
  <c r="M176" i="25" s="1"/>
  <c r="O176" i="25" s="1"/>
  <c r="B177" i="25"/>
  <c r="M177" i="25" s="1" a="1"/>
  <c r="M177" i="25" s="1"/>
  <c r="O177" i="25" s="1"/>
  <c r="B178" i="25"/>
  <c r="M178" i="25" s="1" a="1"/>
  <c r="M178" i="25" s="1"/>
  <c r="O178" i="25" s="1"/>
  <c r="B179" i="25"/>
  <c r="M179" i="25" s="1" a="1"/>
  <c r="M179" i="25" s="1"/>
  <c r="O179" i="25" s="1"/>
  <c r="C3" i="31"/>
  <c r="D3" i="31"/>
  <c r="E3" i="31"/>
  <c r="F3" i="31"/>
  <c r="G3" i="31"/>
  <c r="B3" i="31"/>
  <c r="G25" i="25" l="1"/>
  <c r="G77" i="25"/>
  <c r="N77" i="25" s="1"/>
  <c r="G101" i="25"/>
  <c r="G78" i="25"/>
  <c r="N78" i="25" s="1"/>
  <c r="G100" i="25"/>
  <c r="N101" i="25"/>
  <c r="O101" i="25"/>
  <c r="N100" i="25"/>
  <c r="O100" i="25"/>
  <c r="G112" i="25"/>
  <c r="G140" i="25"/>
  <c r="G178" i="25"/>
  <c r="N178" i="25" s="1"/>
  <c r="P150" i="25"/>
  <c r="G141" i="25"/>
  <c r="N141" i="25" s="1"/>
  <c r="G163" i="25"/>
  <c r="G142" i="25"/>
  <c r="N142" i="25" s="1"/>
  <c r="G152" i="25"/>
  <c r="N152" i="25" s="1"/>
  <c r="N151" i="25"/>
  <c r="M150" i="25" a="1"/>
  <c r="M150" i="25" s="1"/>
  <c r="O150" i="25" s="1"/>
  <c r="M140" i="25" a="1"/>
  <c r="M140" i="25" s="1"/>
  <c r="O140" i="25" s="1"/>
  <c r="N112" i="25"/>
  <c r="M87" i="25" a="1"/>
  <c r="M87" i="25" s="1"/>
  <c r="O87" i="25" s="1"/>
  <c r="N75" i="25"/>
  <c r="G179" i="25"/>
  <c r="N179" i="25" s="1"/>
  <c r="G177" i="25"/>
  <c r="N177" i="25" s="1"/>
  <c r="G170" i="25"/>
  <c r="G162" i="25"/>
  <c r="P130" i="25"/>
  <c r="G76" i="25"/>
  <c r="N76" i="25" s="1"/>
  <c r="G171" i="25"/>
  <c r="G120" i="25"/>
  <c r="N120" i="25" s="1"/>
  <c r="P16" i="25"/>
  <c r="P87" i="25"/>
  <c r="G109" i="25"/>
  <c r="N109" i="25" s="1"/>
  <c r="G61" i="25"/>
  <c r="G51" i="25"/>
  <c r="G26" i="25"/>
  <c r="G160" i="25"/>
  <c r="G175" i="25"/>
  <c r="N175" i="25" s="1"/>
  <c r="G167" i="25"/>
  <c r="P40" i="25"/>
  <c r="G87" i="25"/>
  <c r="G110" i="25"/>
  <c r="N110" i="25" s="1"/>
  <c r="G62" i="25"/>
  <c r="G36" i="25"/>
  <c r="G27" i="25"/>
  <c r="P97" i="25"/>
  <c r="G130" i="25"/>
  <c r="N130" i="25" s="1"/>
  <c r="G28" i="25"/>
  <c r="N28" i="25" s="1"/>
  <c r="G168" i="25"/>
  <c r="G166" i="25"/>
  <c r="G111" i="25"/>
  <c r="N111" i="25" s="1"/>
  <c r="G63" i="25"/>
  <c r="P176" i="25"/>
  <c r="G181" i="25"/>
  <c r="N181" i="25" s="1"/>
  <c r="G173" i="25"/>
  <c r="G165" i="25"/>
  <c r="P109" i="25"/>
  <c r="G89" i="25"/>
  <c r="N89" i="25" s="1"/>
  <c r="G131" i="25"/>
  <c r="N131" i="25" s="1"/>
  <c r="G97" i="25"/>
  <c r="N97" i="25" s="1"/>
  <c r="G64" i="25"/>
  <c r="G38" i="25"/>
  <c r="G13" i="25"/>
  <c r="G176" i="25"/>
  <c r="N176" i="25" s="1"/>
  <c r="G182" i="25"/>
  <c r="N182" i="25" s="1"/>
  <c r="G174" i="25"/>
  <c r="G88" i="25"/>
  <c r="N88" i="25" s="1"/>
  <c r="G37" i="25"/>
  <c r="P175" i="25"/>
  <c r="G180" i="25"/>
  <c r="N180" i="25" s="1"/>
  <c r="G172" i="25"/>
  <c r="G164" i="25"/>
  <c r="P120" i="25"/>
  <c r="G74" i="25"/>
  <c r="N74" i="25" s="1"/>
  <c r="G132" i="25"/>
  <c r="N132" i="25" s="1"/>
  <c r="G98" i="25"/>
  <c r="N98" i="25" s="1"/>
  <c r="G65" i="25"/>
  <c r="G39" i="25"/>
  <c r="G14" i="25"/>
  <c r="G99" i="25"/>
  <c r="N99" i="25" s="1"/>
  <c r="G66" i="25"/>
  <c r="G40" i="25"/>
  <c r="N40" i="25" s="1"/>
  <c r="G15" i="25"/>
  <c r="G121" i="25"/>
  <c r="N121" i="25" s="1"/>
  <c r="G59" i="25"/>
  <c r="G49" i="25"/>
  <c r="G24" i="25"/>
  <c r="G16" i="25"/>
  <c r="N16" i="25" s="1"/>
  <c r="G169" i="25"/>
  <c r="G161" i="25"/>
  <c r="P74" i="25"/>
  <c r="G150" i="25"/>
  <c r="G122" i="25"/>
  <c r="N122" i="25" s="1"/>
  <c r="G60" i="25"/>
  <c r="G50" i="25"/>
  <c r="P182" i="25"/>
  <c r="P181" i="25"/>
  <c r="P180" i="25"/>
  <c r="P179" i="25"/>
  <c r="P178" i="25"/>
  <c r="P177" i="25"/>
  <c r="B173" i="25"/>
  <c r="M173" i="25" s="1" a="1"/>
  <c r="M173" i="25" s="1"/>
  <c r="O173" i="25" s="1"/>
  <c r="B174" i="25"/>
  <c r="M174" i="25" s="1" a="1"/>
  <c r="M174" i="25" s="1"/>
  <c r="O174" i="25" s="1"/>
  <c r="B169" i="25"/>
  <c r="M169" i="25" s="1" a="1"/>
  <c r="M169" i="25" s="1"/>
  <c r="O169" i="25" s="1"/>
  <c r="B170" i="25"/>
  <c r="M170" i="25" s="1" a="1"/>
  <c r="M170" i="25" s="1"/>
  <c r="O170" i="25" s="1"/>
  <c r="B171" i="25"/>
  <c r="M171" i="25" s="1" a="1"/>
  <c r="M171" i="25" s="1"/>
  <c r="O171" i="25" s="1"/>
  <c r="B172" i="25"/>
  <c r="M172" i="25" s="1" a="1"/>
  <c r="M172" i="25" s="1"/>
  <c r="O172" i="25" s="1"/>
  <c r="B168" i="25"/>
  <c r="M168" i="25" s="1" a="1"/>
  <c r="M168" i="25" s="1"/>
  <c r="O168" i="25" s="1"/>
  <c r="B161" i="25"/>
  <c r="M161" i="25" s="1" a="1"/>
  <c r="M161" i="25" s="1"/>
  <c r="O161" i="25" s="1"/>
  <c r="B162" i="25"/>
  <c r="M162" i="25" s="1" a="1"/>
  <c r="M162" i="25" s="1"/>
  <c r="O162" i="25" s="1"/>
  <c r="B163" i="25"/>
  <c r="M163" i="25" s="1" a="1"/>
  <c r="M163" i="25" s="1"/>
  <c r="O163" i="25" s="1"/>
  <c r="B164" i="25"/>
  <c r="M164" i="25" s="1" a="1"/>
  <c r="M164" i="25" s="1"/>
  <c r="O164" i="25" s="1"/>
  <c r="B165" i="25"/>
  <c r="M165" i="25" s="1" a="1"/>
  <c r="M165" i="25" s="1"/>
  <c r="O165" i="25" s="1"/>
  <c r="B166" i="25"/>
  <c r="M166" i="25" s="1" a="1"/>
  <c r="M166" i="25" s="1"/>
  <c r="O166" i="25" s="1"/>
  <c r="B167" i="25"/>
  <c r="M167" i="25" s="1" a="1"/>
  <c r="M167" i="25" s="1"/>
  <c r="O167" i="25" s="1"/>
  <c r="B160" i="25"/>
  <c r="M160" i="25" s="1" a="1"/>
  <c r="M160" i="25" s="1"/>
  <c r="O160" i="25" s="1"/>
  <c r="F3" i="27"/>
  <c r="F4" i="27"/>
  <c r="F5" i="27"/>
  <c r="F6" i="27"/>
  <c r="F7" i="27"/>
  <c r="F8" i="27"/>
  <c r="F9" i="27"/>
  <c r="F10" i="27"/>
  <c r="F11" i="27"/>
  <c r="F12" i="27"/>
  <c r="F13" i="27"/>
  <c r="F14" i="27"/>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2" i="27"/>
  <c r="B13" i="25"/>
  <c r="M13" i="25" s="1" a="1"/>
  <c r="M13" i="25" s="1"/>
  <c r="O13" i="25" s="1"/>
  <c r="B50" i="25"/>
  <c r="M50" i="25" s="1" a="1"/>
  <c r="M50" i="25" s="1"/>
  <c r="O50" i="25" s="1"/>
  <c r="B51" i="25"/>
  <c r="M51" i="25" s="1" a="1"/>
  <c r="M51" i="25" s="1"/>
  <c r="O51" i="25" s="1"/>
  <c r="B49" i="25"/>
  <c r="M49" i="25" s="1" a="1"/>
  <c r="M49" i="25" s="1"/>
  <c r="O49" i="25" s="1"/>
  <c r="B37" i="25"/>
  <c r="M37" i="25" s="1" a="1"/>
  <c r="M37" i="25" s="1"/>
  <c r="O37" i="25" s="1"/>
  <c r="B38" i="25"/>
  <c r="M38" i="25" s="1" a="1"/>
  <c r="M38" i="25" s="1"/>
  <c r="O38" i="25" s="1"/>
  <c r="B39" i="25"/>
  <c r="M39" i="25" s="1" a="1"/>
  <c r="M39" i="25" s="1"/>
  <c r="O39" i="25" s="1"/>
  <c r="B36" i="25"/>
  <c r="M36" i="25" s="1" a="1"/>
  <c r="M36" i="25" s="1"/>
  <c r="O36" i="25" s="1"/>
  <c r="B25" i="25"/>
  <c r="M25" i="25" s="1" a="1"/>
  <c r="M25" i="25" s="1"/>
  <c r="O25" i="25" s="1"/>
  <c r="B26" i="25"/>
  <c r="M26" i="25" s="1" a="1"/>
  <c r="M26" i="25" s="1"/>
  <c r="O26" i="25" s="1"/>
  <c r="B27" i="25"/>
  <c r="M27" i="25" s="1" a="1"/>
  <c r="M27" i="25" s="1"/>
  <c r="O27" i="25" s="1"/>
  <c r="B24" i="25"/>
  <c r="M24" i="25" s="1" a="1"/>
  <c r="M24" i="25" s="1"/>
  <c r="O24" i="25" s="1"/>
  <c r="B15" i="25"/>
  <c r="M15" i="25" s="1" a="1"/>
  <c r="M15" i="25" s="1"/>
  <c r="O15" i="25" s="1"/>
  <c r="B14" i="25"/>
  <c r="M14" i="25" s="1" a="1"/>
  <c r="M14" i="25" s="1"/>
  <c r="O14" i="25" s="1"/>
  <c r="B59" i="25"/>
  <c r="M59" i="25" s="1" a="1"/>
  <c r="M59" i="25" s="1"/>
  <c r="O59" i="25" s="1"/>
  <c r="B60" i="25"/>
  <c r="M60" i="25" s="1" a="1"/>
  <c r="M60" i="25" s="1"/>
  <c r="O60" i="25" s="1"/>
  <c r="B61" i="25"/>
  <c r="M61" i="25" s="1" a="1"/>
  <c r="M61" i="25" s="1"/>
  <c r="O61" i="25" s="1"/>
  <c r="B62" i="25"/>
  <c r="M62" i="25" s="1" a="1"/>
  <c r="M62" i="25" s="1"/>
  <c r="O62" i="25" s="1"/>
  <c r="B63" i="25"/>
  <c r="M63" i="25" s="1" a="1"/>
  <c r="M63" i="25" s="1"/>
  <c r="O63" i="25" s="1"/>
  <c r="B64" i="25"/>
  <c r="M64" i="25" s="1" a="1"/>
  <c r="M64" i="25" s="1"/>
  <c r="O64" i="25" s="1"/>
  <c r="B65" i="25"/>
  <c r="M65" i="25" s="1" a="1"/>
  <c r="M65" i="25" s="1"/>
  <c r="O65" i="25" s="1"/>
  <c r="B66" i="25"/>
  <c r="M66" i="25" s="1" a="1"/>
  <c r="M66" i="25" s="1"/>
  <c r="O66" i="25" s="1"/>
  <c r="N13" i="25" l="1"/>
  <c r="N166" i="25"/>
  <c r="N164" i="25"/>
  <c r="N169" i="25"/>
  <c r="N163" i="25"/>
  <c r="N174" i="25"/>
  <c r="N171" i="25"/>
  <c r="N165" i="25"/>
  <c r="N162" i="25"/>
  <c r="N173" i="25"/>
  <c r="N170" i="25"/>
  <c r="N161" i="25"/>
  <c r="N168" i="25"/>
  <c r="N160" i="25"/>
  <c r="N167" i="25"/>
  <c r="N172" i="25"/>
  <c r="N150" i="25"/>
  <c r="N140" i="25"/>
  <c r="N87" i="25"/>
  <c r="N64" i="25"/>
  <c r="N66" i="25"/>
  <c r="N65" i="25"/>
  <c r="N63" i="25"/>
  <c r="N62" i="25"/>
  <c r="N61" i="25"/>
  <c r="N60" i="25"/>
  <c r="N59" i="25"/>
  <c r="N49" i="25"/>
  <c r="N51" i="25"/>
  <c r="N50" i="25"/>
  <c r="N38" i="25"/>
  <c r="N37" i="25"/>
  <c r="N36" i="25"/>
  <c r="N39" i="25"/>
  <c r="N24" i="25"/>
  <c r="N27" i="25"/>
  <c r="N26" i="25"/>
  <c r="N25" i="25"/>
  <c r="N15" i="25"/>
  <c r="N14" i="25"/>
  <c r="P160" i="25"/>
  <c r="P59" i="25"/>
  <c r="P49" i="25"/>
  <c r="P51" i="25"/>
  <c r="P50" i="25"/>
  <c r="P38" i="25"/>
  <c r="P39" i="25"/>
  <c r="P37" i="25"/>
  <c r="P36" i="25"/>
  <c r="P26" i="25"/>
  <c r="P25" i="25"/>
  <c r="P24" i="25"/>
  <c r="P27" i="25"/>
  <c r="P174" i="25"/>
  <c r="P168" i="25"/>
  <c r="P173" i="25"/>
  <c r="P166" i="25"/>
  <c r="P171" i="25"/>
  <c r="P165" i="25"/>
  <c r="P170" i="25"/>
  <c r="P172" i="25"/>
  <c r="P164" i="25"/>
  <c r="P169" i="25"/>
  <c r="P161" i="25"/>
  <c r="P167" i="25"/>
  <c r="P163" i="25"/>
  <c r="P162" i="25"/>
  <c r="P14" i="25"/>
  <c r="P15" i="25"/>
  <c r="P13" i="25"/>
  <c r="A62" i="25"/>
  <c r="A64" i="25"/>
  <c r="A27" i="25"/>
  <c r="A39"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<sst xmlns="http://schemas.openxmlformats.org/spreadsheetml/2006/main" count="5825" uniqueCount="4858">
  <si>
    <t>https://www.blog.furusuzu0530.com/development-2/</t>
    <phoneticPr fontId="1"/>
  </si>
  <si>
    <t>基準類DB</t>
    <rPh sb="0" eb="3">
      <t>キジュンルイ</t>
    </rPh>
    <phoneticPr fontId="1"/>
  </si>
  <si>
    <t>テーブル名</t>
    <rPh sb="4" eb="5">
      <t>メイ</t>
    </rPh>
    <phoneticPr fontId="1"/>
  </si>
  <si>
    <t>物理名</t>
    <rPh sb="0" eb="2">
      <t>ブツリ</t>
    </rPh>
    <rPh sb="2" eb="3">
      <t>メイ</t>
    </rPh>
    <phoneticPr fontId="1"/>
  </si>
  <si>
    <t>論理名</t>
    <rPh sb="0" eb="3">
      <t>ロンリメイ</t>
    </rPh>
    <phoneticPr fontId="1"/>
  </si>
  <si>
    <t>基準類テーブル</t>
    <rPh sb="0" eb="3">
      <t>キジュンルイ</t>
    </rPh>
    <phoneticPr fontId="1"/>
  </si>
  <si>
    <t>カラム名</t>
    <rPh sb="3" eb="4">
      <t>メイ</t>
    </rPh>
    <phoneticPr fontId="1"/>
  </si>
  <si>
    <t>データ型</t>
    <rPh sb="3" eb="4">
      <t>ガタ</t>
    </rPh>
    <phoneticPr fontId="1"/>
  </si>
  <si>
    <t>制約</t>
    <rPh sb="0" eb="2">
      <t>セイヤク</t>
    </rPh>
    <phoneticPr fontId="1"/>
  </si>
  <si>
    <t>物理名</t>
    <rPh sb="0" eb="3">
      <t>ブツリメイ</t>
    </rPh>
    <phoneticPr fontId="1"/>
  </si>
  <si>
    <t>概要</t>
    <rPh sb="0" eb="2">
      <t>ガイヨウ</t>
    </rPh>
    <phoneticPr fontId="1"/>
  </si>
  <si>
    <t>Type</t>
    <phoneticPr fontId="1"/>
  </si>
  <si>
    <t>Byte</t>
    <phoneticPr fontId="1"/>
  </si>
  <si>
    <t>NOT_NULL</t>
    <phoneticPr fontId="1"/>
  </si>
  <si>
    <t>PK</t>
    <phoneticPr fontId="1"/>
  </si>
  <si>
    <t>FK</t>
    <phoneticPr fontId="1"/>
  </si>
  <si>
    <t>key_rule</t>
    <phoneticPr fontId="1"/>
  </si>
  <si>
    <t>基準キー</t>
    <rPh sb="0" eb="2">
      <t>キジュン</t>
    </rPh>
    <phoneticPr fontId="1"/>
  </si>
  <si>
    <t>INT</t>
    <phoneticPr fontId="1"/>
  </si>
  <si>
    <t>Y</t>
    <phoneticPr fontId="1"/>
  </si>
  <si>
    <t>id_rule</t>
    <phoneticPr fontId="1"/>
  </si>
  <si>
    <t>VARCHAR</t>
    <phoneticPr fontId="1"/>
  </si>
  <si>
    <t>name_rule</t>
    <phoneticPr fontId="1"/>
  </si>
  <si>
    <t>link</t>
    <phoneticPr fontId="1"/>
  </si>
  <si>
    <t>TEXT</t>
    <phoneticPr fontId="1"/>
  </si>
  <si>
    <t>TINYINT</t>
    <phoneticPr fontId="1"/>
  </si>
  <si>
    <t>created_date</t>
    <phoneticPr fontId="1"/>
  </si>
  <si>
    <t>DATETIME</t>
    <phoneticPr fontId="1"/>
  </si>
  <si>
    <t>N</t>
    <phoneticPr fontId="1"/>
  </si>
  <si>
    <t>update_date</t>
    <phoneticPr fontId="1"/>
  </si>
  <si>
    <t>基準種類DB</t>
    <rPh sb="0" eb="2">
      <t>キジュン</t>
    </rPh>
    <rPh sb="2" eb="4">
      <t>シュルイ</t>
    </rPh>
    <phoneticPr fontId="1"/>
  </si>
  <si>
    <t>key_cat_type</t>
    <phoneticPr fontId="1"/>
  </si>
  <si>
    <t>title_jp</t>
    <phoneticPr fontId="1"/>
  </si>
  <si>
    <t>種類名</t>
    <rPh sb="0" eb="3">
      <t>シュルイメイ</t>
    </rPh>
    <phoneticPr fontId="1"/>
  </si>
  <si>
    <t>title_en</t>
    <phoneticPr fontId="1"/>
  </si>
  <si>
    <t>基準大分類DB</t>
    <rPh sb="0" eb="2">
      <t>キジュン</t>
    </rPh>
    <rPh sb="2" eb="3">
      <t>ダイ</t>
    </rPh>
    <rPh sb="3" eb="5">
      <t>ブンルイ</t>
    </rPh>
    <phoneticPr fontId="1"/>
  </si>
  <si>
    <t>基準大分類テーブル</t>
    <rPh sb="0" eb="2">
      <t>キジュン</t>
    </rPh>
    <rPh sb="2" eb="3">
      <t>ダイ</t>
    </rPh>
    <rPh sb="3" eb="5">
      <t>ブンルイ</t>
    </rPh>
    <phoneticPr fontId="1"/>
  </si>
  <si>
    <t>key_cat_major</t>
    <phoneticPr fontId="1"/>
  </si>
  <si>
    <t>基準小分類DB</t>
    <rPh sb="0" eb="2">
      <t>キジュン</t>
    </rPh>
    <rPh sb="2" eb="3">
      <t>ショウ</t>
    </rPh>
    <rPh sb="3" eb="5">
      <t>ブンルイ</t>
    </rPh>
    <phoneticPr fontId="1"/>
  </si>
  <si>
    <t>基準小分類テーブル</t>
    <rPh sb="0" eb="2">
      <t>キジュン</t>
    </rPh>
    <rPh sb="2" eb="3">
      <t>ショウ</t>
    </rPh>
    <rPh sb="3" eb="5">
      <t>ブンルイ</t>
    </rPh>
    <phoneticPr fontId="1"/>
  </si>
  <si>
    <t>PA011</t>
  </si>
  <si>
    <t>経営理念</t>
  </si>
  <si>
    <t>https://www4.kitei-kanri.jp/gf7/seikoepson/browse.php?action_treeList&amp;rule=674&amp;public_id=1</t>
  </si>
  <si>
    <t>RULES_CORP</t>
  </si>
  <si>
    <t>PHILOSOPHY</t>
  </si>
  <si>
    <t>MANAGEMENT_PHILOSOPHY</t>
  </si>
  <si>
    <t>PB011</t>
  </si>
  <si>
    <t>企業行動原則</t>
  </si>
  <si>
    <t>https://www4.kitei-kanri.jp/gf7/seikoepson/browse.php?action_treeList&amp;rule=675&amp;public_id=1</t>
  </si>
  <si>
    <t>CORPORATE_ACTION_PRINCIPLES</t>
  </si>
  <si>
    <t>PB111</t>
  </si>
  <si>
    <t>エプソングループ製品安全に関する基本方針</t>
  </si>
  <si>
    <t>https://www4.kitei-kanri.jp/gf7/seikoepson/browse.php?action_treeList&amp;rule=676&amp;public_id=1</t>
  </si>
  <si>
    <t>POLICY_CATEGORY</t>
  </si>
  <si>
    <t>PB121</t>
  </si>
  <si>
    <t>エプソングループ労働安全衛生基本方針</t>
  </si>
  <si>
    <t>https://www4.kitei-kanri.jp/gf7/seikoepson/browse.php?action_treeList&amp;rule=677&amp;public_id=1</t>
  </si>
  <si>
    <t>PB131</t>
  </si>
  <si>
    <t>エプソングループ人権方針</t>
  </si>
  <si>
    <t>https://www4.kitei-kanri.jp/gf7/seikoepson/browse.php?action_treeList&amp;rule=678&amp;public_id=1</t>
  </si>
  <si>
    <t>PB141</t>
  </si>
  <si>
    <t>エプソングループAI倫理原則</t>
  </si>
  <si>
    <t>https://www4.kitei-kanri.jp/gf7/seikoepson/browse.php?action_treeList&amp;rule=680&amp;public_id=1</t>
  </si>
  <si>
    <t>PB151</t>
  </si>
  <si>
    <t>情報セキュリティー基本方針</t>
  </si>
  <si>
    <t>https://www4.kitei-kanri.jp/gf7/seikoepson/browse.php?action_treeList&amp;rule=681&amp;public_id=1</t>
  </si>
  <si>
    <t>PB161</t>
  </si>
  <si>
    <t>エプソングループ調達基本方針</t>
  </si>
  <si>
    <t>https://www4.kitei-kanri.jp/gf7/seikoepson/browse.php?action_treeList&amp;rule=682&amp;public_id=1</t>
  </si>
  <si>
    <t>PC011</t>
  </si>
  <si>
    <t>エプソングローバル社員行動規範</t>
  </si>
  <si>
    <t>https://www4.kitei-kanri.jp/gf7/seikoepson/browse.php?action_treeList&amp;rule=683&amp;public_id=1</t>
  </si>
  <si>
    <t>EMPLOYEE_CODE_OF_CONDUCT</t>
  </si>
  <si>
    <t>SA011</t>
  </si>
  <si>
    <t>定款</t>
  </si>
  <si>
    <t>https://www4.kitei-kanri.jp/gf7/seikoepson/browse.php?action_treeList&amp;rule=684&amp;public_id=1</t>
  </si>
  <si>
    <t>OFFICE</t>
  </si>
  <si>
    <t>ARTICLES_OF_INCORPORATION_AND_SUPPLEMENTARY_REGULATIONS</t>
  </si>
  <si>
    <t>SA021</t>
  </si>
  <si>
    <t>株式取扱規則</t>
  </si>
  <si>
    <t>https://www4.kitei-kanri.jp/gf7/seikoepson/browse.php?action_treeList&amp;rule=685&amp;public_id=1</t>
  </si>
  <si>
    <t>SA031</t>
  </si>
  <si>
    <t>コーポレートガバナンス基本方針</t>
  </si>
  <si>
    <t>https://www4.kitei-kanri.jp/gf7/seikoepson/browse.php?action_treeList&amp;rule=686&amp;public_id=1</t>
  </si>
  <si>
    <t>SA041</t>
  </si>
  <si>
    <t>内部統制システムの基本方針</t>
  </si>
  <si>
    <t>https://www4.kitei-kanri.jp/gf7/seikoepson/browse.php?action_treeList&amp;rule=687&amp;public_id=1</t>
  </si>
  <si>
    <t>SA111</t>
  </si>
  <si>
    <t>取締役会規則</t>
  </si>
  <si>
    <t>https://www4.kitei-kanri.jp/gf7/seikoepson/browse.php?action_treeList&amp;rule=688&amp;public_id=1</t>
  </si>
  <si>
    <t>GOVERNANCE</t>
  </si>
  <si>
    <t>SA121</t>
  </si>
  <si>
    <t>監査等委員会規則</t>
  </si>
  <si>
    <t>https://www4.kitei-kanri.jp/gf7/seikoepson/browse.php?action_treeList&amp;rule=689&amp;public_id=1</t>
  </si>
  <si>
    <t>SA121-01</t>
  </si>
  <si>
    <t>会計監査人の選任・不再任および再任手続きに関する基準</t>
  </si>
  <si>
    <t>https://www4.kitei-kanri.jp/gf7/seikoepson/browse.php?action_treeList&amp;rule=691&amp;public_id=1</t>
  </si>
  <si>
    <t>SA121-02</t>
  </si>
  <si>
    <t>会計監査人の報酬等の同意に関する手続き基準</t>
  </si>
  <si>
    <t>https://www4.kitei-kanri.jp/gf7/seikoepson/browse.php?action_treeList&amp;rule=692&amp;public_id=1</t>
  </si>
  <si>
    <t>SA122</t>
  </si>
  <si>
    <t>監査等委員会監査等規程</t>
  </si>
  <si>
    <t>https://www4.kitei-kanri.jp/gf7/seikoepson/browse.php?action_treeList&amp;rule=693&amp;public_id=1</t>
  </si>
  <si>
    <t>SA122-01</t>
  </si>
  <si>
    <t>内部統制システムに係る監査等委員会監査の実施基準</t>
  </si>
  <si>
    <t>https://www4.kitei-kanri.jp/gf7/seikoepson/browse.php?action_treeList&amp;rule=694&amp;public_id=1</t>
  </si>
  <si>
    <t>SA123</t>
  </si>
  <si>
    <t>会計監査人の選任・不再任の決定方針</t>
  </si>
  <si>
    <t>https://www4.kitei-kanri.jp/gf7/seikoepson/browse.php?action_treeList&amp;rule=690&amp;public_id=1</t>
  </si>
  <si>
    <t>SA201</t>
  </si>
  <si>
    <t>コンプライアンス基本規程</t>
  </si>
  <si>
    <t>https://www4.kitei-kanri.jp/gf7/seikoepson/browse.php?action_treeList&amp;rule=381&amp;public_id=1</t>
  </si>
  <si>
    <t>COMPLIANCE</t>
  </si>
  <si>
    <t>SA211</t>
  </si>
  <si>
    <t>コンプライアンス委員会規則</t>
  </si>
  <si>
    <t>https://www4.kitei-kanri.jp/gf7/seikoepson/browse.php?action_treeList&amp;rule=695&amp;public_id=1</t>
  </si>
  <si>
    <t>SA221</t>
  </si>
  <si>
    <t>通報制度規程</t>
  </si>
  <si>
    <t>https://www4.kitei-kanri.jp/gf7/seikoepson/browse.php?action_treeList&amp;rule=656&amp;public_id=1</t>
  </si>
  <si>
    <t>SA221-01</t>
  </si>
  <si>
    <t>グローバル通報窓口運営基準</t>
  </si>
  <si>
    <t>https://www4.kitei-kanri.jp/gf7/seikoepson/browse.php?action_treeList&amp;rule=657&amp;public_id=1</t>
  </si>
  <si>
    <t>SA221-02</t>
  </si>
  <si>
    <t>内部通報窓口運営基準</t>
  </si>
  <si>
    <t>https://www4.kitei-kanri.jp/gf7/seikoepson/browse.php?action_treeList&amp;rule=658&amp;public_id=1</t>
  </si>
  <si>
    <t>SA221-03</t>
  </si>
  <si>
    <t>調達先通報窓口運営基準</t>
  </si>
  <si>
    <t>https://www4.kitei-kanri.jp/gf7/seikoepson/browse.php?action_treeList&amp;rule=659&amp;public_id=1</t>
  </si>
  <si>
    <t>SA221-04</t>
  </si>
  <si>
    <t>贈収賄・腐敗行為防止、競争法遵守に関する取引先通報窓口運営基準</t>
  </si>
  <si>
    <t>https://www4.kitei-kanri.jp/gf7/seikoepson/browse.php?action_treeList&amp;rule=660&amp;public_id=1</t>
  </si>
  <si>
    <t>SA231</t>
  </si>
  <si>
    <t>個人情報保護方針</t>
  </si>
  <si>
    <t>https://www4.kitei-kanri.jp/gf7/seikoepson/browse.php?action_treeList&amp;rule=696&amp;public_id=1</t>
  </si>
  <si>
    <t>SA241</t>
  </si>
  <si>
    <t>リスク管理基本規程</t>
  </si>
  <si>
    <t>https://www4.kitei-kanri.jp/gf7/seikoepson/browse.php?action_treeList&amp;rule=798&amp;public_id=1</t>
  </si>
  <si>
    <t>SA241-01</t>
  </si>
  <si>
    <t>リスク管理実施基準</t>
  </si>
  <si>
    <t>https://www4.kitei-kanri.jp/gf7/seikoepson/browse.php?action_treeList&amp;rule=7&amp;public_id=1</t>
  </si>
  <si>
    <t>SA242</t>
  </si>
  <si>
    <t>事業継続管理規程</t>
  </si>
  <si>
    <t>https://www4.kitei-kanri.jp/gf7/seikoepson/browse.php?action_treeList&amp;rule=557&amp;public_id=1</t>
  </si>
  <si>
    <t>SA311</t>
  </si>
  <si>
    <t>規範体系管理規程</t>
  </si>
  <si>
    <t>https://www4.kitei-kanri.jp/gf7/seikoepson/browse.php?action_treeList&amp;rule=752&amp;public_id=1</t>
  </si>
  <si>
    <t>PROCEDURE_MANAGEMENT</t>
  </si>
  <si>
    <t>SA312</t>
  </si>
  <si>
    <t>規程・基準管理規程</t>
  </si>
  <si>
    <t>https://www4.kitei-kanri.jp/gf7/seikoepson/browse.php?action_treeList&amp;rule=753&amp;public_id=1</t>
  </si>
  <si>
    <t>SA312-01</t>
  </si>
  <si>
    <t>規程・基準作成基準</t>
  </si>
  <si>
    <t>https://www4.kitei-kanri.jp/gf7/seikoepson/browse.php?action_treeList&amp;rule=762&amp;public_id=1</t>
  </si>
  <si>
    <t>SB011</t>
  </si>
  <si>
    <t>組織管理規程</t>
  </si>
  <si>
    <t>https://www4.kitei-kanri.jp/gf7/seikoepson/browse.php?action_treeList&amp;rule=8&amp;public_id=1</t>
  </si>
  <si>
    <t>DIVISION_OF_ORGANIZATION</t>
  </si>
  <si>
    <t>SB011-01</t>
  </si>
  <si>
    <t>海外支店管理基準</t>
  </si>
  <si>
    <t>https://www4.kitei-kanri.jp/gf7/seikoepson/browse.php?action_treeList&amp;rule=749&amp;public_id=1</t>
  </si>
  <si>
    <t>SB021</t>
  </si>
  <si>
    <t>業務分掌規程</t>
  </si>
  <si>
    <t>https://www4.kitei-kanri.jp/gf7/seikoepson/browse.php?action_treeList&amp;rule=9&amp;public_id=1</t>
  </si>
  <si>
    <t>SB031</t>
  </si>
  <si>
    <t>関係会社管理規程</t>
  </si>
  <si>
    <t>https://www4.kitei-kanri.jp/gf7/seikoepson/browse.php?action_treeList&amp;rule=754&amp;public_id=1</t>
  </si>
  <si>
    <t>SB112</t>
  </si>
  <si>
    <t>経営戦略会議規程</t>
  </si>
  <si>
    <t>https://www4.kitei-kanri.jp/gf7/seikoepson/browse.php?action_treeList&amp;rule=10&amp;public_id=1</t>
  </si>
  <si>
    <t>MANAGEMENT_MEETING</t>
  </si>
  <si>
    <t>SB121</t>
  </si>
  <si>
    <t>危機管理委員会規程</t>
  </si>
  <si>
    <t>https://www4.kitei-kanri.jp/gf7/seikoepson/browse.php?action_treeList&amp;rule=558&amp;public_id=1</t>
  </si>
  <si>
    <t>SB211</t>
  </si>
  <si>
    <t>職務権限規程</t>
  </si>
  <si>
    <t>https://www4.kitei-kanri.jp/gf7/seikoepson/browse.php?action_treeList&amp;rule=750&amp;public_id=1</t>
  </si>
  <si>
    <t>AUTHORITY</t>
  </si>
  <si>
    <t>SB212</t>
  </si>
  <si>
    <t>稟議規程</t>
  </si>
  <si>
    <t>https://www4.kitei-kanri.jp/gf7/seikoepson/browse.php?action_treeList&amp;rule=14&amp;public_id=1</t>
  </si>
  <si>
    <t>SB311-01</t>
  </si>
  <si>
    <t>役員内規管理基準</t>
  </si>
  <si>
    <t>https://www4.kitei-kanri.jp/gf7/seikoepson/browse.php?action_treeList&amp;rule=773&amp;public_id=1</t>
  </si>
  <si>
    <t>OFFICER_RELATED</t>
  </si>
  <si>
    <t>SC011</t>
  </si>
  <si>
    <t>就業規則</t>
  </si>
  <si>
    <t>https://www4.kitei-kanri.jp/gf7/seikoepson/browse.php?action_treeList&amp;rule=1&amp;public_id=1</t>
  </si>
  <si>
    <t>EMPLOYMENT_RULES</t>
  </si>
  <si>
    <t>SC012</t>
  </si>
  <si>
    <t>パートタイマー就業規則</t>
  </si>
  <si>
    <t>https://www4.kitei-kanri.jp/gf7/seikoepson/browse.php?action_treeList&amp;rule=2&amp;public_id=1</t>
  </si>
  <si>
    <t>SC013</t>
  </si>
  <si>
    <t>契約社員(AS)就業規則</t>
  </si>
  <si>
    <t>https://www4.kitei-kanri.jp/gf7/seikoepson/browse.php?action_treeList&amp;rule=3&amp;public_id=1</t>
  </si>
  <si>
    <t>SC014</t>
  </si>
  <si>
    <t>契約社員(EX)就業規則</t>
  </si>
  <si>
    <t>https://www4.kitei-kanri.jp/gf7/seikoepson/browse.php?action_treeList&amp;rule=4&amp;public_id=1</t>
  </si>
  <si>
    <t>SC015</t>
  </si>
  <si>
    <t>契約社員(ST)就業規則</t>
  </si>
  <si>
    <t>https://www4.kitei-kanri.jp/gf7/seikoepson/browse.php?action_treeList&amp;rule=5&amp;public_id=1</t>
  </si>
  <si>
    <t>SC102</t>
  </si>
  <si>
    <t>労使協議会規程</t>
  </si>
  <si>
    <t>https://www4.kitei-kanri.jp/gf7/seikoepson/browse.php?action_treeList&amp;rule=27&amp;public_id=1</t>
  </si>
  <si>
    <t>PERSONNEL</t>
  </si>
  <si>
    <t>SC102-01</t>
  </si>
  <si>
    <t>生産性委員会基準</t>
  </si>
  <si>
    <t>https://www4.kitei-kanri.jp/gf7/seikoepson/browse.php?action_treeList&amp;rule=28&amp;public_id=1</t>
  </si>
  <si>
    <t>SC102-02</t>
  </si>
  <si>
    <t>労使協議会議事録取扱基準</t>
  </si>
  <si>
    <t>https://www4.kitei-kanri.jp/gf7/seikoepson/browse.php?action_treeList&amp;rule=29&amp;public_id=1</t>
  </si>
  <si>
    <t>SC103</t>
  </si>
  <si>
    <t>制裁委員会規程</t>
  </si>
  <si>
    <t>https://www4.kitei-kanri.jp/gf7/seikoepson/browse.php?action_treeList&amp;rule=30&amp;public_id=1</t>
  </si>
  <si>
    <t>SC103-01</t>
  </si>
  <si>
    <t>対話会費用補助金取扱基準</t>
  </si>
  <si>
    <t>https://www4.kitei-kanri.jp/gf7/seikoepson/browse.php?action_treeList&amp;rule=31&amp;public_id=1</t>
  </si>
  <si>
    <t>SC111</t>
  </si>
  <si>
    <t>資格等級規程</t>
  </si>
  <si>
    <t>https://www4.kitei-kanri.jp/gf7/seikoepson/browse.php?action_treeList&amp;rule=32&amp;public_id=1</t>
  </si>
  <si>
    <t>SC111-01</t>
  </si>
  <si>
    <t>シニアスタッフ・C等級エントリー基準</t>
  </si>
  <si>
    <t>https://www4.kitei-kanri.jp/gf7/seikoepson/browse.php?action_treeList&amp;rule=33&amp;public_id=1</t>
  </si>
  <si>
    <t>SC112</t>
  </si>
  <si>
    <t>人事考課規程</t>
  </si>
  <si>
    <t>https://www4.kitei-kanri.jp/gf7/seikoepson/browse.php?action_treeList&amp;rule=34&amp;public_id=1</t>
  </si>
  <si>
    <t>SC112-01</t>
  </si>
  <si>
    <t>賞与支給処理基準</t>
  </si>
  <si>
    <t>https://www4.kitei-kanri.jp/gf7/seikoepson/browse.php?action_treeList&amp;rule=35&amp;public_id=1</t>
  </si>
  <si>
    <t>SC113</t>
  </si>
  <si>
    <t>高齢化社会対応総合施策規程</t>
  </si>
  <si>
    <t>https://www4.kitei-kanri.jp/gf7/seikoepson/browse.php?action_treeList&amp;rule=36&amp;public_id=1</t>
  </si>
  <si>
    <t>SC113-01</t>
    <phoneticPr fontId="1"/>
  </si>
  <si>
    <t>再雇用審査基準</t>
  </si>
  <si>
    <t>https://www4.kitei-kanri.jp/gf7/seikoepson/browse.php?action_treeList&amp;rule=37&amp;public_id=1</t>
  </si>
  <si>
    <t>SC121</t>
  </si>
  <si>
    <t>勤務取扱規程</t>
  </si>
  <si>
    <t>https://www4.kitei-kanri.jp/gf7/seikoepson/browse.php?action_treeList&amp;rule=38&amp;public_id=1</t>
  </si>
  <si>
    <t>SC121-01</t>
  </si>
  <si>
    <t>フレックスタイム運用基準</t>
  </si>
  <si>
    <t>https://www4.kitei-kanri.jp/gf7/seikoepson/browse.php?action_treeList&amp;rule=39&amp;public_id=1</t>
  </si>
  <si>
    <t>SC121-02</t>
  </si>
  <si>
    <t>変則勤務運用基準</t>
  </si>
  <si>
    <t>https://www4.kitei-kanri.jp/gf7/seikoepson/browse.php?action_treeList&amp;rule=40&amp;public_id=1</t>
  </si>
  <si>
    <t>SC121-03</t>
  </si>
  <si>
    <t>在宅勤務運用基準</t>
  </si>
  <si>
    <t>https://www4.kitei-kanri.jp/gf7/seikoepson/browse.php?action_treeList&amp;rule=41&amp;public_id=1</t>
  </si>
  <si>
    <t>SC121-04</t>
  </si>
  <si>
    <t>私傷病に関する運用基準</t>
  </si>
  <si>
    <t>https://www4.kitei-kanri.jp/gf7/seikoepson/browse.php?action_treeList&amp;rule=42&amp;public_id=1</t>
  </si>
  <si>
    <t>SC121-05</t>
  </si>
  <si>
    <t>育児に関する運用基準</t>
  </si>
  <si>
    <t>https://www4.kitei-kanri.jp/gf7/seikoepson/browse.php?action_treeList&amp;rule=43&amp;public_id=1</t>
  </si>
  <si>
    <t>SC121-06</t>
  </si>
  <si>
    <t>介護に関する運用基準</t>
  </si>
  <si>
    <t>https://www4.kitei-kanri.jp/gf7/seikoepson/browse.php?action_treeList&amp;rule=44&amp;public_id=1</t>
  </si>
  <si>
    <t>SC121-07</t>
  </si>
  <si>
    <t>ワーキングネーム制度運用基準</t>
  </si>
  <si>
    <t>https://www4.kitei-kanri.jp/gf7/seikoepson/browse.php?action_treeList&amp;rule=46&amp;public_id=1</t>
  </si>
  <si>
    <t>SC121-08</t>
  </si>
  <si>
    <t>海外赴任帯同配偶者休職制度に関する運用基準</t>
  </si>
  <si>
    <t>https://www4.kitei-kanri.jp/gf7/seikoepson/browse.php?action_treeList&amp;rule=45&amp;public_id=1</t>
  </si>
  <si>
    <t>SC122</t>
  </si>
  <si>
    <t>異動取扱規程</t>
  </si>
  <si>
    <t>https://www4.kitei-kanri.jp/gf7/seikoepson/browse.php?action_treeList&amp;rule=47&amp;public_id=1</t>
  </si>
  <si>
    <t>SC122-01</t>
  </si>
  <si>
    <t>入社1年目の異動に伴う処理基準</t>
  </si>
  <si>
    <t>https://www4.kitei-kanri.jp/gf7/seikoepson/browse.php?action_treeList&amp;rule=48&amp;public_id=1</t>
  </si>
  <si>
    <t>SC122-02</t>
  </si>
  <si>
    <t>国内・海外赴任者への住宅取得等特別控除に対する補償基準</t>
  </si>
  <si>
    <t>https://www4.kitei-kanri.jp/gf7/seikoepson/browse.php?action_treeList&amp;rule=49&amp;public_id=1</t>
  </si>
  <si>
    <t>SC122-03</t>
  </si>
  <si>
    <t>転居に伴う引越代の会社負担範囲基準</t>
  </si>
  <si>
    <t>https://www4.kitei-kanri.jp/gf7/seikoepson/browse.php?action_treeList&amp;rule=50&amp;public_id=1</t>
  </si>
  <si>
    <t>SC122-04</t>
  </si>
  <si>
    <t>異動に伴う適用カレンダーおよび休日・所定労働時間差の取扱基準</t>
  </si>
  <si>
    <t>https://www4.kitei-kanri.jp/gf7/seikoepson/browse.php?action_treeList&amp;rule=51&amp;public_id=1</t>
  </si>
  <si>
    <t>SC122-05</t>
  </si>
  <si>
    <t>赴任者の住居見学および選定の際の取扱基準</t>
  </si>
  <si>
    <t>https://www4.kitei-kanri.jp/gf7/seikoepson/browse.php?action_treeList&amp;rule=52&amp;public_id=1</t>
  </si>
  <si>
    <t>SC122-06</t>
  </si>
  <si>
    <t>異動時に通勤可能な範囲へ転居する場合の手当・費用の取扱基準</t>
  </si>
  <si>
    <t>https://www4.kitei-kanri.jp/gf7/seikoepson/browse.php?action_treeList&amp;rule=53&amp;public_id=1</t>
  </si>
  <si>
    <t>SC122-07</t>
  </si>
  <si>
    <t>帰宅連絡交通費支給の取扱基準</t>
  </si>
  <si>
    <t>https://www4.kitei-kanri.jp/gf7/seikoepson/browse.php?action_treeList&amp;rule=54&amp;public_id=1</t>
  </si>
  <si>
    <t>SC123</t>
  </si>
  <si>
    <t>通勤取扱規程</t>
  </si>
  <si>
    <t>https://www4.kitei-kanri.jp/gf7/seikoepson/browse.php?action_treeList&amp;rule=55&amp;public_id=1</t>
  </si>
  <si>
    <t>SC123-01</t>
  </si>
  <si>
    <t>通勤取扱基準</t>
  </si>
  <si>
    <t>https://www4.kitei-kanri.jp/gf7/seikoepson/browse.php?action_treeList&amp;rule=56&amp;public_id=1</t>
  </si>
  <si>
    <t>SC123-02</t>
  </si>
  <si>
    <t>自家用車利用の認定条件および手続き取扱基準</t>
  </si>
  <si>
    <t>https://www4.kitei-kanri.jp/gf7/seikoepson/browse.php?action_treeList&amp;rule=57&amp;public_id=1</t>
  </si>
  <si>
    <t>SC124</t>
  </si>
  <si>
    <t>再就職取扱規程</t>
  </si>
  <si>
    <t>https://www4.kitei-kanri.jp/gf7/seikoepson/browse.php?action_treeList&amp;rule=58&amp;public_id=1</t>
  </si>
  <si>
    <t>SC131</t>
  </si>
  <si>
    <t>賃金規則</t>
  </si>
  <si>
    <t>https://www4.kitei-kanri.jp/gf7/seikoepson/browse.php?action_treeList&amp;rule=59&amp;public_id=1</t>
  </si>
  <si>
    <t>SC131-01</t>
  </si>
  <si>
    <t>キャリアポイント制度取扱基準</t>
  </si>
  <si>
    <t>https://www4.kitei-kanri.jp/gf7/seikoepson/browse.php?action_treeList&amp;rule=60&amp;public_id=1</t>
  </si>
  <si>
    <t>SC131-02</t>
  </si>
  <si>
    <t>家族手当支給開始・停止に関する取扱基準</t>
  </si>
  <si>
    <t>https://www4.kitei-kanri.jp/gf7/seikoepson/browse.php?action_treeList&amp;rule=61&amp;public_id=1</t>
  </si>
  <si>
    <t>SC131-03</t>
  </si>
  <si>
    <t>扶養家族の認定範囲についての基準</t>
  </si>
  <si>
    <t>https://www4.kitei-kanri.jp/gf7/seikoepson/browse.php?action_treeList&amp;rule=62&amp;public_id=1</t>
  </si>
  <si>
    <t>SC132</t>
  </si>
  <si>
    <t>パートタイマー賃金規則</t>
  </si>
  <si>
    <t>https://www4.kitei-kanri.jp/gf7/seikoepson/browse.php?action_treeList&amp;rule=63&amp;public_id=1</t>
  </si>
  <si>
    <t>SC133</t>
  </si>
  <si>
    <t>契約社員(AS)賃金規則</t>
  </si>
  <si>
    <t>https://www4.kitei-kanri.jp/gf7/seikoepson/browse.php?action_treeList&amp;rule=64&amp;public_id=1</t>
  </si>
  <si>
    <t>SC134</t>
  </si>
  <si>
    <t>契約社員(EX)賃金規則</t>
  </si>
  <si>
    <t>https://www4.kitei-kanri.jp/gf7/seikoepson/browse.php?action_treeList&amp;rule=65&amp;public_id=1</t>
  </si>
  <si>
    <t>SC135</t>
  </si>
  <si>
    <t>契約社員(ST)賃金規則</t>
  </si>
  <si>
    <t>https://www4.kitei-kanri.jp/gf7/seikoepson/browse.php?action_treeList&amp;rule=66&amp;public_id=1</t>
  </si>
  <si>
    <t>SC136</t>
  </si>
  <si>
    <t>退職金規程</t>
  </si>
  <si>
    <t>https://www4.kitei-kanri.jp/gf7/seikoepson/browse.php?action_treeList&amp;rule=67&amp;public_id=1</t>
  </si>
  <si>
    <t>SC137</t>
  </si>
  <si>
    <t>確定拠出年金・前払年金規程</t>
  </si>
  <si>
    <t>https://www4.kitei-kanri.jp/gf7/seikoepson/browse.php?action_treeList&amp;rule=68&amp;public_id=1</t>
  </si>
  <si>
    <t>SC141</t>
  </si>
  <si>
    <t>外出出張規程</t>
  </si>
  <si>
    <t>https://www4.kitei-kanri.jp/gf7/seikoepson/browse.php?action_treeList&amp;rule=69&amp;public_id=1</t>
  </si>
  <si>
    <t>SC141-01</t>
  </si>
  <si>
    <t>公用外出取扱基準</t>
  </si>
  <si>
    <t>https://www4.kitei-kanri.jp/gf7/seikoepson/browse.php?action_treeList&amp;rule=70&amp;public_id=1</t>
  </si>
  <si>
    <t>SC141-02</t>
  </si>
  <si>
    <t>国内出張取扱基準</t>
  </si>
  <si>
    <t>https://www4.kitei-kanri.jp/gf7/seikoepson/browse.php?action_treeList&amp;rule=71&amp;public_id=1</t>
  </si>
  <si>
    <t>SC141-03</t>
  </si>
  <si>
    <t>海外出張取扱基準</t>
  </si>
  <si>
    <t>https://www4.kitei-kanri.jp/gf7/seikoepson/browse.php?action_treeList&amp;rule=72&amp;public_id=1</t>
  </si>
  <si>
    <t>SC141-04</t>
  </si>
  <si>
    <t>長期海外出張者に対する一時精算処理基準</t>
  </si>
  <si>
    <t>https://www4.kitei-kanri.jp/gf7/seikoepson/browse.php?action_treeList&amp;rule=73&amp;public_id=1</t>
  </si>
  <si>
    <t>SC142</t>
  </si>
  <si>
    <t>コーポレートカード取扱規程</t>
  </si>
  <si>
    <t>https://www4.kitei-kanri.jp/gf7/seikoepson/browse.php?action_treeList&amp;rule=74&amp;public_id=1</t>
  </si>
  <si>
    <t>SC143</t>
  </si>
  <si>
    <t>海外赴任規程</t>
  </si>
  <si>
    <t>https://www4.kitei-kanri.jp/gf7/seikoepson/browse.php?action_treeList&amp;rule=75&amp;public_id=1</t>
  </si>
  <si>
    <t>SC143-01</t>
  </si>
  <si>
    <t>海外赴任者処遇基準</t>
  </si>
  <si>
    <t>https://www4.kitei-kanri.jp/gf7/seikoepson/browse.php?action_treeList&amp;rule=76&amp;public_id=1</t>
  </si>
  <si>
    <t>SC143-02</t>
  </si>
  <si>
    <t>海外トレーニー処遇基準</t>
  </si>
  <si>
    <t>https://www4.kitei-kanri.jp/gf7/seikoepson/browse.php?action_treeList&amp;rule=77&amp;public_id=1</t>
  </si>
  <si>
    <t>SC144</t>
  </si>
  <si>
    <t>社内公募・ジョブチャレンジ制度規程</t>
  </si>
  <si>
    <t>https://www4.kitei-kanri.jp/gf7/seikoepson/browse.php?action_treeList&amp;rule=78&amp;public_id=1</t>
  </si>
  <si>
    <t>SC151</t>
  </si>
  <si>
    <t>人材開発教育規程</t>
  </si>
  <si>
    <t>https://www4.kitei-kanri.jp/gf7/seikoepson/browse.php?action_treeList&amp;rule=393&amp;public_id=1</t>
  </si>
  <si>
    <t>SC151-01</t>
  </si>
  <si>
    <t>資格取得基準</t>
  </si>
  <si>
    <t>https://www4.kitei-kanri.jp/gf7/seikoepson/browse.php?action_treeList&amp;rule=394&amp;public_id=1</t>
  </si>
  <si>
    <t>SC151-02</t>
  </si>
  <si>
    <t>通信教育等受講基準</t>
  </si>
  <si>
    <t>https://www4.kitei-kanri.jp/gf7/seikoepson/browse.php?action_treeList&amp;rule=395&amp;public_id=1</t>
  </si>
  <si>
    <t>SC151-03</t>
  </si>
  <si>
    <t>社外講習会等参加基準</t>
  </si>
  <si>
    <t>https://www4.kitei-kanri.jp/gf7/seikoepson/browse.php?action_treeList&amp;rule=396&amp;public_id=1</t>
  </si>
  <si>
    <t>SC151-04</t>
  </si>
  <si>
    <t>外部への講師依頼に係る処理基準</t>
  </si>
  <si>
    <t>https://www4.kitei-kanri.jp/gf7/seikoepson/browse.php?action_treeList&amp;rule=397&amp;public_id=1</t>
  </si>
  <si>
    <t>SC151-05</t>
  </si>
  <si>
    <t>講師派遣基準</t>
  </si>
  <si>
    <t>https://www4.kitei-kanri.jp/gf7/seikoepson/browse.php?action_treeList&amp;rule=398&amp;public_id=1</t>
  </si>
  <si>
    <t>SC161</t>
  </si>
  <si>
    <t>融資規程</t>
  </si>
  <si>
    <t>https://www4.kitei-kanri.jp/gf7/seikoepson/browse.php?action_treeList&amp;rule=79&amp;public_id=1</t>
  </si>
  <si>
    <t>SC161-01</t>
  </si>
  <si>
    <t>住宅金融融資基準</t>
  </si>
  <si>
    <t>https://www4.kitei-kanri.jp/gf7/seikoepson/browse.php?action_treeList&amp;rule=80&amp;public_id=1</t>
  </si>
  <si>
    <t>SC162</t>
  </si>
  <si>
    <t>財形貯蓄規程</t>
  </si>
  <si>
    <t>https://www4.kitei-kanri.jp/gf7/seikoepson/browse.php?action_treeList&amp;rule=81&amp;public_id=1</t>
  </si>
  <si>
    <t>SC162-01</t>
  </si>
  <si>
    <t>一般財形貯蓄取扱基準</t>
  </si>
  <si>
    <t>https://www4.kitei-kanri.jp/gf7/seikoepson/browse.php?action_treeList&amp;rule=82&amp;public_id=1</t>
  </si>
  <si>
    <t>SC162-02</t>
  </si>
  <si>
    <t>財形住宅貯蓄取扱基準</t>
  </si>
  <si>
    <t>https://www4.kitei-kanri.jp/gf7/seikoepson/browse.php?action_treeList&amp;rule=83&amp;public_id=1</t>
  </si>
  <si>
    <t>SC162-03</t>
  </si>
  <si>
    <t>財形年金貯蓄取扱基準</t>
  </si>
  <si>
    <t>https://www4.kitei-kanri.jp/gf7/seikoepson/browse.php?action_treeList&amp;rule=84&amp;public_id=1</t>
  </si>
  <si>
    <t>SC163</t>
  </si>
  <si>
    <t>従業員持株会規程</t>
  </si>
  <si>
    <t>https://www4.kitei-kanri.jp/gf7/seikoepson/browse.php?action_treeList&amp;rule=399&amp;public_id=1</t>
  </si>
  <si>
    <t>SC164</t>
  </si>
  <si>
    <t>慶弔金・見舞金規程</t>
  </si>
  <si>
    <t>https://www4.kitei-kanri.jp/gf7/seikoepson/browse.php?action_treeList&amp;rule=85&amp;public_id=1</t>
  </si>
  <si>
    <t>SC164-01</t>
  </si>
  <si>
    <t>慶弔金・見舞金取扱基準</t>
  </si>
  <si>
    <t>https://www4.kitei-kanri.jp/gf7/seikoepson/browse.php?action_treeList&amp;rule=86&amp;public_id=1</t>
  </si>
  <si>
    <t>SC165</t>
  </si>
  <si>
    <t>スポーツクラブ運営・全国大会助成規程</t>
  </si>
  <si>
    <t>https://www4.kitei-kanri.jp/gf7/seikoepson/browse.php?action_treeList&amp;rule=87&amp;public_id=1</t>
  </si>
  <si>
    <t>SC165-01</t>
  </si>
  <si>
    <t>スポーツクラブ運営・全国大会助成取扱基準</t>
  </si>
  <si>
    <t>https://www4.kitei-kanri.jp/gf7/seikoepson/browse.php?action_treeList&amp;rule=88&amp;public_id=1</t>
  </si>
  <si>
    <t>SC171</t>
  </si>
  <si>
    <t>社宅管理規程</t>
  </si>
  <si>
    <t>https://www4.kitei-kanri.jp/gf7/seikoepson/browse.php?action_treeList&amp;rule=89&amp;public_id=1</t>
  </si>
  <si>
    <t>SC171-01</t>
  </si>
  <si>
    <t>帯同社宅運用基準</t>
  </si>
  <si>
    <t>https://www4.kitei-kanri.jp/gf7/seikoepson/browse.php?action_treeList&amp;rule=90&amp;public_id=1</t>
  </si>
  <si>
    <t>SC171-02</t>
  </si>
  <si>
    <t>単身・独身者社宅運用基準</t>
  </si>
  <si>
    <t>https://www4.kitei-kanri.jp/gf7/seikoepson/browse.php?action_treeList&amp;rule=91&amp;public_id=1</t>
  </si>
  <si>
    <t>SD011</t>
  </si>
  <si>
    <t>経営計画管理規程</t>
  </si>
  <si>
    <t>https://www4.kitei-kanri.jp/gf7/seikoepson/browse.php?action_treeList&amp;rule=559&amp;public_id=1</t>
  </si>
  <si>
    <t>MANAGEMENT</t>
  </si>
  <si>
    <t>SD012</t>
  </si>
  <si>
    <t>設備投資管理規程</t>
  </si>
  <si>
    <t>https://www4.kitei-kanri.jp/gf7/seikoepson/browse.php?action_treeList&amp;rule=709&amp;public_id=1</t>
  </si>
  <si>
    <t>SD012-01</t>
  </si>
  <si>
    <t>設備投資管理基準</t>
  </si>
  <si>
    <t>https://www4.kitei-kanri.jp/gf7/seikoepson/browse.php?action_treeList&amp;rule=710&amp;public_id=1</t>
  </si>
  <si>
    <t>SD022</t>
  </si>
  <si>
    <t>テーマ表彰規程</t>
  </si>
  <si>
    <t>https://www4.kitei-kanri.jp/gf7/seikoepson/browse.php?action_treeList&amp;rule=382&amp;public_id=1</t>
  </si>
  <si>
    <t>SD023</t>
  </si>
  <si>
    <t>技能特別表彰規程</t>
  </si>
  <si>
    <t>https://www4.kitei-kanri.jp/gf7/seikoepson/browse.php?action_treeList&amp;rule=383&amp;public_id=1</t>
  </si>
  <si>
    <t>SD023-01</t>
  </si>
  <si>
    <t>社外からの表彰に関する取扱基準</t>
  </si>
  <si>
    <t>https://www4.kitei-kanri.jp/gf7/seikoepson/browse.php?action_treeList&amp;rule=15&amp;public_id=1</t>
  </si>
  <si>
    <t>SD031</t>
  </si>
  <si>
    <t>コミュニケーション規程</t>
  </si>
  <si>
    <t>https://www4.kitei-kanri.jp/gf7/seikoepson/browse.php?action_treeList&amp;rule=611&amp;public_id=1</t>
  </si>
  <si>
    <t>SD031-01</t>
  </si>
  <si>
    <t>ソーシャルメディアによるコミュニケーション基準</t>
  </si>
  <si>
    <t>https://www4.kitei-kanri.jp/gf7/seikoepson/browse.php?action_treeList&amp;rule=384&amp;public_id=1</t>
  </si>
  <si>
    <t>SD031-02</t>
  </si>
  <si>
    <t>ソーシャルメディア運用基準</t>
  </si>
  <si>
    <t>https://www4.kitei-kanri.jp/gf7/seikoepson/browse.php?action_treeList&amp;rule=385&amp;public_id=1</t>
  </si>
  <si>
    <t>SD032</t>
  </si>
  <si>
    <t>インターネットコミュニケーション規程</t>
  </si>
  <si>
    <t>https://www4.kitei-kanri.jp/gf7/seikoepson/browse.php?action_treeList&amp;rule=386&amp;public_id=1</t>
  </si>
  <si>
    <t>SD032-01</t>
  </si>
  <si>
    <t>ウェブサイト運用基準</t>
  </si>
  <si>
    <t>https://www4.kitei-kanri.jp/gf7/seikoepson/browse.php?action_treeList&amp;rule=387&amp;public_id=1</t>
  </si>
  <si>
    <t>SD033</t>
  </si>
  <si>
    <t>表示管理規程</t>
  </si>
  <si>
    <t>https://www4.kitei-kanri.jp/gf7/seikoepson/browse.php?action_treeList&amp;rule=388&amp;public_id=1</t>
  </si>
  <si>
    <t>SD041</t>
  </si>
  <si>
    <t>CSR管理規程</t>
  </si>
  <si>
    <t>https://www4.kitei-kanri.jp/gf7/seikoepson/browse.php?action_treeList&amp;rule=562&amp;public_id=1</t>
  </si>
  <si>
    <t>SD041-01</t>
  </si>
  <si>
    <t>CSR運用基準</t>
  </si>
  <si>
    <t>https://www4.kitei-kanri.jp/gf7/seikoepson/browse.php?action_treeList&amp;rule=563&amp;public_id=1</t>
  </si>
  <si>
    <t>SD051</t>
  </si>
  <si>
    <t>寄付規程</t>
  </si>
  <si>
    <t>https://www4.kitei-kanri.jp/gf7/seikoepson/browse.php?action_treeList&amp;rule=566&amp;public_id=1</t>
  </si>
  <si>
    <t>SD052</t>
  </si>
  <si>
    <t>スポンサーシップ規程</t>
  </si>
  <si>
    <t>https://www4.kitei-kanri.jp/gf7/seikoepson/browse.php?action_treeList&amp;rule=389&amp;public_id=1</t>
  </si>
  <si>
    <t>SD061</t>
  </si>
  <si>
    <t>内部監査基本規程</t>
  </si>
  <si>
    <t>https://www4.kitei-kanri.jp/gf7/seikoepson/browse.php?action_treeList&amp;rule=560&amp;public_id=1</t>
  </si>
  <si>
    <t>SD062</t>
  </si>
  <si>
    <t>内部監査統括部門監査規程</t>
  </si>
  <si>
    <t>https://www4.kitei-kanri.jp/gf7/seikoepson/browse.php?action_treeList&amp;rule=561&amp;public_id=1</t>
  </si>
  <si>
    <t>SD071</t>
  </si>
  <si>
    <t>財務報告内部統制の基本規程</t>
  </si>
  <si>
    <t>https://www4.kitei-kanri.jp/gf7/seikoepson/browse.php?action_treeList&amp;rule=390&amp;public_id=1</t>
  </si>
  <si>
    <t>SD071-01</t>
  </si>
  <si>
    <t>財務報告内部統制の管理基準</t>
  </si>
  <si>
    <t>https://www4.kitei-kanri.jp/gf7/seikoepson/browse.php?action_treeList&amp;rule=391&amp;public_id=1</t>
  </si>
  <si>
    <t>SD071-02</t>
  </si>
  <si>
    <t>財務報告内部統制の手続基準</t>
  </si>
  <si>
    <t>https://www4.kitei-kanri.jp/gf7/seikoepson/browse.php?action_treeList&amp;rule=392&amp;public_id=1</t>
  </si>
  <si>
    <t>SD101</t>
  </si>
  <si>
    <t>物理セキュリティー規程</t>
  </si>
  <si>
    <t>https://www4.kitei-kanri.jp/gf7/seikoepson/browse.php?action_treeList&amp;rule=567&amp;public_id=1</t>
  </si>
  <si>
    <t>GENERAL_AFFAIRS</t>
  </si>
  <si>
    <t>SD101-01</t>
  </si>
  <si>
    <t>物理セキュリティー管理基準</t>
  </si>
  <si>
    <t>https://www4.kitei-kanri.jp/gf7/seikoepson/browse.php?action_treeList&amp;rule=569&amp;public_id=1</t>
  </si>
  <si>
    <t>SD102</t>
  </si>
  <si>
    <t>IDカード管理規程</t>
  </si>
  <si>
    <t>https://www4.kitei-kanri.jp/gf7/seikoepson/browse.php?action_treeList&amp;rule=571&amp;public_id=1</t>
  </si>
  <si>
    <t>SD102-01</t>
  </si>
  <si>
    <t>IDカード運用基準</t>
  </si>
  <si>
    <t>https://www4.kitei-kanri.jp/gf7/seikoepson/browse.php?action_treeList&amp;rule=572&amp;public_id=1</t>
  </si>
  <si>
    <t>SD103</t>
  </si>
  <si>
    <t>接待・儀礼規程</t>
  </si>
  <si>
    <t>https://www4.kitei-kanri.jp/gf7/seikoepson/browse.php?action_treeList&amp;rule=573&amp;public_id=1</t>
  </si>
  <si>
    <t>SD103-01</t>
  </si>
  <si>
    <t>接待・儀礼基準</t>
  </si>
  <si>
    <t>https://www4.kitei-kanri.jp/gf7/seikoepson/browse.php?action_treeList&amp;rule=16&amp;public_id=1</t>
  </si>
  <si>
    <t>SD104</t>
  </si>
  <si>
    <t>社友会運営支援規程</t>
  </si>
  <si>
    <t>https://www4.kitei-kanri.jp/gf7/seikoepson/browse.php?action_treeList&amp;rule=17&amp;public_id=1</t>
  </si>
  <si>
    <t>SD111</t>
  </si>
  <si>
    <t>社有車管理規程</t>
  </si>
  <si>
    <t>https://www4.kitei-kanri.jp/gf7/seikoepson/browse.php?action_treeList&amp;rule=574&amp;public_id=1</t>
  </si>
  <si>
    <t>SD111-01</t>
  </si>
  <si>
    <t>社有車運用基準</t>
  </si>
  <si>
    <t>https://www4.kitei-kanri.jp/gf7/seikoepson/browse.php?action_treeList&amp;rule=18&amp;public_id=1</t>
  </si>
  <si>
    <t>SD111-02</t>
  </si>
  <si>
    <t>社有車運転者認定基準</t>
  </si>
  <si>
    <t>https://www4.kitei-kanri.jp/gf7/seikoepson/browse.php?action_treeList&amp;rule=19&amp;public_id=1</t>
  </si>
  <si>
    <t>SD112</t>
  </si>
  <si>
    <t>外部団体加入管理規程</t>
  </si>
  <si>
    <t>https://www4.kitei-kanri.jp/gf7/seikoepson/browse.php?action_treeList&amp;rule=575&amp;public_id=1</t>
  </si>
  <si>
    <t>SD112-01</t>
  </si>
  <si>
    <t>外部団体加入審議会運用基準</t>
  </si>
  <si>
    <t>https://www4.kitei-kanri.jp/gf7/seikoepson/browse.php?action_treeList&amp;rule=576&amp;public_id=1</t>
  </si>
  <si>
    <t>SD113</t>
  </si>
  <si>
    <t>ユニフォーム取扱規程</t>
  </si>
  <si>
    <t>https://www4.kitei-kanri.jp/gf7/seikoepson/browse.php?action_treeList&amp;rule=20&amp;public_id=1</t>
  </si>
  <si>
    <t>SD121</t>
  </si>
  <si>
    <t>文書管理規程</t>
  </si>
  <si>
    <t>https://www4.kitei-kanri.jp/gf7/seikoepson/browse.php?action_treeList&amp;rule=577&amp;public_id=1</t>
  </si>
  <si>
    <t>SD121-01</t>
  </si>
  <si>
    <t>文書保存期間基準</t>
  </si>
  <si>
    <t>https://www4.kitei-kanri.jp/gf7/seikoepson/browse.php?action_treeList&amp;rule=21&amp;public_id=1</t>
  </si>
  <si>
    <t>SD121-02</t>
  </si>
  <si>
    <t>電子文書管理基準</t>
  </si>
  <si>
    <t>https://www4.kitei-kanri.jp/gf7/seikoepson/browse.php?action_treeList&amp;rule=578&amp;public_id=1</t>
  </si>
  <si>
    <t>SD122</t>
  </si>
  <si>
    <t>通達等管理規程</t>
  </si>
  <si>
    <t>https://www4.kitei-kanri.jp/gf7/seikoepson/browse.php?action_treeList&amp;rule=579&amp;public_id=1</t>
  </si>
  <si>
    <t>SD123</t>
  </si>
  <si>
    <t>届出書管理規程</t>
  </si>
  <si>
    <t>https://www4.kitei-kanri.jp/gf7/seikoepson/browse.php?action_treeList&amp;rule=755&amp;public_id=1</t>
  </si>
  <si>
    <t>SD124</t>
  </si>
  <si>
    <t>統計法遵守規程</t>
  </si>
  <si>
    <t>https://www4.kitei-kanri.jp/gf7/seikoepson/browse.php?action_treeList&amp;rule=22&amp;public_id=1</t>
  </si>
  <si>
    <t>SD131</t>
  </si>
  <si>
    <t>印章管理規程</t>
  </si>
  <si>
    <t>https://www4.kitei-kanri.jp/gf7/seikoepson/browse.php?action_treeList&amp;rule=756&amp;public_id=1</t>
  </si>
  <si>
    <t>SD131-01</t>
  </si>
  <si>
    <t>署名管理基準</t>
  </si>
  <si>
    <t>https://www4.kitei-kanri.jp/gf7/seikoepson/browse.php?action_treeList&amp;rule=23&amp;public_id=1</t>
  </si>
  <si>
    <t>SD131-02</t>
  </si>
  <si>
    <t>捺印運用基準</t>
  </si>
  <si>
    <t>https://www4.kitei-kanri.jp/gf7/seikoepson/browse.php?action_treeList&amp;rule=24&amp;public_id=1</t>
  </si>
  <si>
    <t>SD132</t>
  </si>
  <si>
    <t>契約書管理規程</t>
  </si>
  <si>
    <t>https://www4.kitei-kanri.jp/gf7/seikoepson/browse.php?action_treeList&amp;rule=757&amp;public_id=1</t>
  </si>
  <si>
    <t>SD132-01</t>
  </si>
  <si>
    <t>契約書管理基準</t>
  </si>
  <si>
    <t>https://www4.kitei-kanri.jp/gf7/seikoepson/browse.php?action_treeList&amp;rule=25&amp;public_id=1</t>
  </si>
  <si>
    <t>SD133</t>
  </si>
  <si>
    <t>競争法遵守規程</t>
  </si>
  <si>
    <t>https://www4.kitei-kanri.jp/gf7/seikoepson/browse.php?action_treeList&amp;rule=758&amp;public_id=1</t>
  </si>
  <si>
    <t>SD133-01</t>
  </si>
  <si>
    <t>基幹部品外販事業・OEM事業に関する競争法遵守基準</t>
  </si>
  <si>
    <t>https://www4.kitei-kanri.jp/gf7/seikoepson/browse.php?action_treeList&amp;rule=751&amp;public_id=1</t>
  </si>
  <si>
    <t>SD134</t>
  </si>
  <si>
    <t>贈賄防止規程</t>
  </si>
  <si>
    <t>https://www4.kitei-kanri.jp/gf7/seikoepson/browse.php?action_treeList&amp;rule=652&amp;public_id=1</t>
  </si>
  <si>
    <t>SD135</t>
  </si>
  <si>
    <t>内部者取引管理規程</t>
  </si>
  <si>
    <t>https://www4.kitei-kanri.jp/gf7/seikoepson/browse.php?action_treeList&amp;rule=612&amp;public_id=1</t>
  </si>
  <si>
    <t>SD136</t>
  </si>
  <si>
    <t>訴訟管理規程</t>
  </si>
  <si>
    <t>https://www4.kitei-kanri.jp/gf7/seikoepson/browse.php?action_treeList&amp;rule=786&amp;public_id=1</t>
  </si>
  <si>
    <t>SD141</t>
  </si>
  <si>
    <t>忌避領域管理規程</t>
  </si>
  <si>
    <t>https://www4.kitei-kanri.jp/gf7/seikoepson/browse.php?action_treeList&amp;rule=653&amp;public_id=1</t>
  </si>
  <si>
    <t>SD151</t>
  </si>
  <si>
    <t>資産管理規程</t>
  </si>
  <si>
    <t>https://www4.kitei-kanri.jp/gf7/seikoepson/browse.php?action_treeList&amp;rule=711&amp;public_id=1</t>
  </si>
  <si>
    <t>SD151-01</t>
  </si>
  <si>
    <t>管理資産管理基準</t>
  </si>
  <si>
    <t>https://www4.kitei-kanri.jp/gf7/seikoepson/browse.php?action_treeList&amp;rule=712&amp;public_id=1</t>
  </si>
  <si>
    <t>SD152</t>
  </si>
  <si>
    <t>損害保険管理規程</t>
  </si>
  <si>
    <t>https://www4.kitei-kanri.jp/gf7/seikoepson/browse.php?action_treeList&amp;rule=713&amp;public_id=1</t>
  </si>
  <si>
    <t>SD153</t>
  </si>
  <si>
    <t>不動産管理運用規程</t>
  </si>
  <si>
    <t>https://www4.kitei-kanri.jp/gf7/seikoepson/browse.php?action_treeList&amp;rule=714&amp;public_id=1</t>
  </si>
  <si>
    <t>SD154</t>
  </si>
  <si>
    <t>リース・レンタル資産管理運用規程</t>
  </si>
  <si>
    <t>https://www4.kitei-kanri.jp/gf7/seikoepson/browse.php?action_treeList&amp;rule=715&amp;public_id=1</t>
  </si>
  <si>
    <t>SD154-01</t>
  </si>
  <si>
    <t>リース・レンタル資産管理運用基準</t>
  </si>
  <si>
    <t>https://www4.kitei-kanri.jp/gf7/seikoepson/browse.php?action_treeList&amp;rule=26&amp;public_id=1</t>
  </si>
  <si>
    <t>SD161</t>
  </si>
  <si>
    <t>施設管理規程</t>
  </si>
  <si>
    <t>https://www4.kitei-kanri.jp/gf7/seikoepson/browse.php?action_treeList&amp;rule=771&amp;public_id=1</t>
  </si>
  <si>
    <t>SD201</t>
  </si>
  <si>
    <t>労働安全衛生基本規程</t>
  </si>
  <si>
    <t>https://www4.kitei-kanri.jp/gf7/seikoepson/browse.php?action_treeList&amp;rule=401&amp;public_id=1</t>
  </si>
  <si>
    <t>SAFETY_ENVIRONMENT</t>
  </si>
  <si>
    <t>SD202</t>
  </si>
  <si>
    <t>労働安全衛生管理規程</t>
  </si>
  <si>
    <t>https://www4.kitei-kanri.jp/gf7/seikoepson/browse.php?action_treeList&amp;rule=408&amp;public_id=1</t>
  </si>
  <si>
    <t>SD202-01</t>
  </si>
  <si>
    <t>労働安全衛生活動基準</t>
  </si>
  <si>
    <t>https://www4.kitei-kanri.jp/gf7/seikoepson/browse.php?action_treeList&amp;rule=407&amp;public_id=1</t>
  </si>
  <si>
    <t>SD202-02</t>
  </si>
  <si>
    <t>労働安全衛生に関するリスクアセスメント基準</t>
  </si>
  <si>
    <t>https://www4.kitei-kanri.jp/gf7/seikoepson/browse.php?action_treeList&amp;rule=403&amp;public_id=1</t>
  </si>
  <si>
    <t>SD202-03</t>
  </si>
  <si>
    <t>労働安全衛生活動評価基準</t>
  </si>
  <si>
    <t>https://www4.kitei-kanri.jp/gf7/seikoepson/browse.php?action_treeList&amp;rule=402&amp;public_id=1</t>
  </si>
  <si>
    <t>SD202-04</t>
  </si>
  <si>
    <t>労働安全衛生教育基準</t>
  </si>
  <si>
    <t>https://www4.kitei-kanri.jp/gf7/seikoepson/browse.php?action_treeList&amp;rule=404&amp;public_id=1</t>
  </si>
  <si>
    <t>SD202-05</t>
  </si>
  <si>
    <t>労働安全衛生会議基準</t>
  </si>
  <si>
    <t>https://www4.kitei-kanri.jp/gf7/seikoepson/browse.php?action_treeList&amp;rule=405&amp;public_id=1</t>
  </si>
  <si>
    <t>SD202-06</t>
  </si>
  <si>
    <t>構内請負会社労働安全衛生管理基準</t>
  </si>
  <si>
    <t>https://www4.kitei-kanri.jp/gf7/seikoepson/browse.php?action_treeList&amp;rule=406&amp;public_id=1</t>
  </si>
  <si>
    <t>SD211</t>
  </si>
  <si>
    <t>機械等安全管理規程</t>
  </si>
  <si>
    <t>https://www4.kitei-kanri.jp/gf7/seikoepson/browse.php?action_treeList&amp;rule=409&amp;public_id=1</t>
  </si>
  <si>
    <t>SD211-01</t>
  </si>
  <si>
    <t>機械等安全審査基準</t>
  </si>
  <si>
    <t>https://www4.kitei-kanri.jp/gf7/seikoepson/browse.php?action_treeList&amp;rule=410&amp;public_id=1</t>
  </si>
  <si>
    <t>SD211-02</t>
  </si>
  <si>
    <t>機械等の無人稼動取扱基準</t>
  </si>
  <si>
    <t>https://www4.kitei-kanri.jp/gf7/seikoepson/browse.php?action_treeList&amp;rule=411&amp;public_id=1</t>
  </si>
  <si>
    <t>SD221</t>
  </si>
  <si>
    <t>建物・設備等安全管理規程</t>
  </si>
  <si>
    <t>https://www4.kitei-kanri.jp/gf7/seikoepson/browse.php?action_treeList&amp;rule=580&amp;public_id=1</t>
  </si>
  <si>
    <t>SD221-01</t>
  </si>
  <si>
    <t>高圧ガス等設備管理基準</t>
  </si>
  <si>
    <t>https://www4.kitei-kanri.jp/gf7/seikoepson/browse.php?action_treeList&amp;rule=582&amp;public_id=1</t>
  </si>
  <si>
    <t>SD221-02</t>
  </si>
  <si>
    <t>建物防火・防災設備基準</t>
  </si>
  <si>
    <t>https://www4.kitei-kanri.jp/gf7/seikoepson/browse.php?action_treeList&amp;rule=583&amp;public_id=1</t>
  </si>
  <si>
    <t>SD221-03</t>
  </si>
  <si>
    <t>建物・設備等安全審査基準</t>
  </si>
  <si>
    <t>https://www4.kitei-kanri.jp/gf7/seikoepson/browse.php?action_treeList&amp;rule=584&amp;public_id=1</t>
  </si>
  <si>
    <t>SD231</t>
  </si>
  <si>
    <t>電気安全管理規程</t>
  </si>
  <si>
    <t>https://www4.kitei-kanri.jp/gf7/seikoepson/browse.php?action_treeList&amp;rule=586&amp;public_id=1</t>
  </si>
  <si>
    <t>SD231-01</t>
  </si>
  <si>
    <t>電装技術員運用基準</t>
  </si>
  <si>
    <t>https://www4.kitei-kanri.jp/gf7/seikoepson/browse.php?action_treeList&amp;rule=587&amp;public_id=1</t>
  </si>
  <si>
    <t>SD241</t>
  </si>
  <si>
    <t>環境活動管理規程</t>
  </si>
  <si>
    <t>https://www4.kitei-kanri.jp/gf7/seikoepson/browse.php?action_treeList&amp;rule=588&amp;public_id=1</t>
  </si>
  <si>
    <t>SD241-01</t>
  </si>
  <si>
    <t>製品含有化学物質管理基準</t>
  </si>
  <si>
    <t>https://www4.kitei-kanri.jp/gf7/seikoepson/browse.php?action_treeList&amp;rule=589&amp;public_id=1</t>
  </si>
  <si>
    <t>SD242</t>
  </si>
  <si>
    <t>環境データ管理規程</t>
  </si>
  <si>
    <t>https://www4.kitei-kanri.jp/gf7/seikoepson/browse.php?action_treeList&amp;rule=590&amp;public_id=1</t>
  </si>
  <si>
    <t>SD242-01</t>
  </si>
  <si>
    <t>環境データ収集基準</t>
  </si>
  <si>
    <t>https://www4.kitei-kanri.jp/gf7/seikoepson/browse.php?action_treeList&amp;rule=591&amp;public_id=1</t>
  </si>
  <si>
    <t>SD242-02</t>
  </si>
  <si>
    <t>環境データ算定基準</t>
  </si>
  <si>
    <t>https://www4.kitei-kanri.jp/gf7/seikoepson/browse.php?action_treeList&amp;rule=592&amp;public_id=1</t>
  </si>
  <si>
    <t>SD251</t>
  </si>
  <si>
    <t>排出物管理規程</t>
  </si>
  <si>
    <t>https://www4.kitei-kanri.jp/gf7/seikoepson/browse.php?action_treeList&amp;rule=593&amp;public_id=1</t>
  </si>
  <si>
    <t>SD251-01</t>
  </si>
  <si>
    <t>排出物管理基準</t>
  </si>
  <si>
    <t>https://www4.kitei-kanri.jp/gf7/seikoepson/browse.php?action_treeList&amp;rule=594&amp;public_id=1</t>
  </si>
  <si>
    <t>SD251-02</t>
  </si>
  <si>
    <t>ゼロエミッション活動基準</t>
  </si>
  <si>
    <t>https://www4.kitei-kanri.jp/gf7/seikoepson/browse.php?action_treeList&amp;rule=595&amp;public_id=1</t>
  </si>
  <si>
    <t>SD252</t>
  </si>
  <si>
    <t>公害防止管理規程</t>
  </si>
  <si>
    <t>https://www4.kitei-kanri.jp/gf7/seikoepson/browse.php?action_treeList&amp;rule=596&amp;public_id=1</t>
  </si>
  <si>
    <t>SD252-01</t>
  </si>
  <si>
    <t>公害防止管理運用基準</t>
  </si>
  <si>
    <t>https://www4.kitei-kanri.jp/gf7/seikoepson/browse.php?action_treeList&amp;rule=598&amp;public_id=1</t>
  </si>
  <si>
    <t>SD261</t>
  </si>
  <si>
    <t>健康管理規程</t>
  </si>
  <si>
    <t>https://www4.kitei-kanri.jp/gf7/seikoepson/browse.php?action_treeList&amp;rule=599&amp;public_id=1</t>
  </si>
  <si>
    <t>SD261-01</t>
  </si>
  <si>
    <t>健康診断基準</t>
  </si>
  <si>
    <t>https://www4.kitei-kanri.jp/gf7/seikoepson/browse.php?action_treeList&amp;rule=600&amp;public_id=1</t>
  </si>
  <si>
    <t>SD261-02</t>
  </si>
  <si>
    <t>ストレスチェック実施基準</t>
  </si>
  <si>
    <t>https://www4.kitei-kanri.jp/gf7/seikoepson/browse.php?action_treeList&amp;rule=601&amp;public_id=1</t>
  </si>
  <si>
    <t>SD261-03</t>
  </si>
  <si>
    <t>海外赴任者の健康管理基準</t>
  </si>
  <si>
    <t>https://www4.kitei-kanri.jp/gf7/seikoepson/browse.php?action_treeList&amp;rule=655&amp;public_id=1</t>
  </si>
  <si>
    <t>SD261-04</t>
  </si>
  <si>
    <t>渡航制限措置運用基準</t>
  </si>
  <si>
    <t>https://www4.kitei-kanri.jp/gf7/seikoepson/browse.php?action_treeList&amp;rule=603&amp;public_id=1</t>
  </si>
  <si>
    <t>SD261-05</t>
  </si>
  <si>
    <t>健康情報管理基準</t>
  </si>
  <si>
    <t>https://www4.kitei-kanri.jp/gf7/seikoepson/browse.php?action_treeList&amp;rule=92&amp;public_id=1</t>
  </si>
  <si>
    <t>SD261-06</t>
  </si>
  <si>
    <t>健康づくり推進委員会運営基準</t>
  </si>
  <si>
    <t>https://www4.kitei-kanri.jp/gf7/seikoepson/browse.php?action_treeList&amp;rule=93&amp;public_id=1</t>
  </si>
  <si>
    <t>SD271</t>
  </si>
  <si>
    <t>危険有害物質安全衛生管理規程</t>
  </si>
  <si>
    <t>https://www4.kitei-kanri.jp/gf7/seikoepson/browse.php?action_treeList&amp;rule=604&amp;public_id=1</t>
  </si>
  <si>
    <t>SD271-01</t>
  </si>
  <si>
    <t>危険有害物質安全審査基準</t>
  </si>
  <si>
    <t>https://www4.kitei-kanri.jp/gf7/seikoepson/browse.php?action_treeList&amp;rule=605&amp;public_id=1</t>
  </si>
  <si>
    <t>SD281</t>
  </si>
  <si>
    <t>防災規程</t>
  </si>
  <si>
    <t>https://www4.kitei-kanri.jp/gf7/seikoepson/browse.php?action_treeList&amp;rule=606&amp;public_id=1</t>
  </si>
  <si>
    <t>SD281-01</t>
  </si>
  <si>
    <t>防災本部設置基準</t>
  </si>
  <si>
    <t>https://www4.kitei-kanri.jp/gf7/seikoepson/browse.php?action_treeList&amp;rule=607&amp;public_id=1</t>
  </si>
  <si>
    <t>SD281-02</t>
  </si>
  <si>
    <t>総合災害対策本部設置基準</t>
  </si>
  <si>
    <t>https://www4.kitei-kanri.jp/gf7/seikoepson/browse.php?action_treeList&amp;rule=608&amp;public_id=1</t>
  </si>
  <si>
    <t>SD281-03</t>
  </si>
  <si>
    <t>防災管理基準</t>
  </si>
  <si>
    <t>https://www4.kitei-kanri.jp/gf7/seikoepson/browse.php?action_treeList&amp;rule=609&amp;public_id=1</t>
  </si>
  <si>
    <t>SD281-04</t>
  </si>
  <si>
    <t>自衛消防団運営基準</t>
  </si>
  <si>
    <t>https://www4.kitei-kanri.jp/gf7/seikoepson/browse.php?action_treeList&amp;rule=610&amp;public_id=1</t>
  </si>
  <si>
    <t>SD301</t>
  </si>
  <si>
    <t>経理基本規程</t>
  </si>
  <si>
    <t>https://www4.kitei-kanri.jp/gf7/seikoepson/browse.php?action_treeList&amp;rule=412&amp;public_id=1</t>
  </si>
  <si>
    <t>ACCOUNTING</t>
  </si>
  <si>
    <t>SD301-01</t>
  </si>
  <si>
    <t>セイコーエプソン会計基準</t>
  </si>
  <si>
    <t>https://www4.kitei-kanri.jp/gf7/seikoepson/browse.php?action_treeList&amp;rule=772&amp;public_id=1</t>
  </si>
  <si>
    <t>SD301-02</t>
  </si>
  <si>
    <t>グループ内債権債務管理基準</t>
  </si>
  <si>
    <t>https://www4.kitei-kanri.jp/gf7/seikoepson/browse.php?action_treeList&amp;rule=414&amp;public_id=1</t>
  </si>
  <si>
    <t>SD311</t>
  </si>
  <si>
    <t>決算会計規程</t>
  </si>
  <si>
    <t>https://www4.kitei-kanri.jp/gf7/seikoepson/browse.php?action_treeList&amp;rule=415&amp;public_id=1</t>
  </si>
  <si>
    <t>SD311-01</t>
  </si>
  <si>
    <t>海外ロイヤルティ(使用料)の支払に係る処理基準</t>
  </si>
  <si>
    <t>https://www4.kitei-kanri.jp/gf7/seikoepson/browse.php?action_treeList&amp;rule=94&amp;public_id=1</t>
  </si>
  <si>
    <t>SD311-02</t>
  </si>
  <si>
    <t>外貨建取引処理基準</t>
  </si>
  <si>
    <t>https://www4.kitei-kanri.jp/gf7/seikoepson/browse.php?action_treeList&amp;rule=95&amp;public_id=1</t>
  </si>
  <si>
    <t>SD311-03</t>
  </si>
  <si>
    <t>消費税処理基準</t>
  </si>
  <si>
    <t>https://www4.kitei-kanri.jp/gf7/seikoepson/browse.php?action_treeList&amp;rule=96&amp;public_id=1</t>
  </si>
  <si>
    <t>SD311-04</t>
  </si>
  <si>
    <t>研究開発費の処理基準</t>
  </si>
  <si>
    <t>https://www4.kitei-kanri.jp/gf7/seikoepson/browse.php?action_treeList&amp;rule=97&amp;public_id=1</t>
  </si>
  <si>
    <t>SD312</t>
  </si>
  <si>
    <t>会計情報システム運用規程</t>
  </si>
  <si>
    <t>https://www4.kitei-kanri.jp/gf7/seikoepson/browse.php?action_treeList&amp;rule=416&amp;public_id=1</t>
  </si>
  <si>
    <t>SD312-01</t>
  </si>
  <si>
    <t>単体決算会計システムにおける決裁・権限基準</t>
  </si>
  <si>
    <t>https://www4.kitei-kanri.jp/gf7/seikoepson/browse.php?action_treeList&amp;rule=98&amp;public_id=1</t>
  </si>
  <si>
    <t>SD313</t>
  </si>
  <si>
    <t>原価計算規程</t>
  </si>
  <si>
    <t>https://www4.kitei-kanri.jp/gf7/seikoepson/browse.php?action_treeList&amp;rule=417&amp;public_id=1</t>
  </si>
  <si>
    <t>SD313-01</t>
  </si>
  <si>
    <t>応援者の費用負担に関する処理基準</t>
  </si>
  <si>
    <t>https://www4.kitei-kanri.jp/gf7/seikoepson/browse.php?action_treeList&amp;rule=99&amp;public_id=1</t>
  </si>
  <si>
    <t>SD314</t>
  </si>
  <si>
    <t>棚卸資産会計規程</t>
  </si>
  <si>
    <t>https://www4.kitei-kanri.jp/gf7/seikoepson/browse.php?action_treeList&amp;rule=418&amp;public_id=1</t>
  </si>
  <si>
    <t>SD314-01</t>
  </si>
  <si>
    <t>実地棚卸監査基準</t>
  </si>
  <si>
    <t>https://www4.kitei-kanri.jp/gf7/seikoepson/browse.php?action_treeList&amp;rule=242&amp;public_id=1</t>
  </si>
  <si>
    <t>SD314-02</t>
  </si>
  <si>
    <t>棚卸資産稟議廃却経理処理基準</t>
  </si>
  <si>
    <t>https://www4.kitei-kanri.jp/gf7/seikoepson/browse.php?action_treeList&amp;rule=100&amp;public_id=1</t>
  </si>
  <si>
    <t>SD315</t>
  </si>
  <si>
    <t>有形固定資産および無形資産会計規程</t>
  </si>
  <si>
    <t>https://www4.kitei-kanri.jp/gf7/seikoepson/browse.php?action_treeList&amp;rule=419&amp;public_id=1</t>
  </si>
  <si>
    <t>SD316</t>
  </si>
  <si>
    <t>金銭債権・金銭債務管理会計規程</t>
  </si>
  <si>
    <t>https://www4.kitei-kanri.jp/gf7/seikoepson/browse.php?action_treeList&amp;rule=420&amp;public_id=1</t>
  </si>
  <si>
    <t>SD321</t>
  </si>
  <si>
    <t>税務会計規程</t>
  </si>
  <si>
    <t>https://www4.kitei-kanri.jp/gf7/seikoepson/browse.php?action_treeList&amp;rule=421&amp;public_id=1</t>
  </si>
  <si>
    <t>SD321-01</t>
  </si>
  <si>
    <t>褒賞金および補助金等への源泉徴収課税実施基準</t>
  </si>
  <si>
    <t>https://www4.kitei-kanri.jp/gf7/seikoepson/browse.php?action_treeList&amp;rule=422&amp;public_id=1</t>
  </si>
  <si>
    <t>SD321-02</t>
  </si>
  <si>
    <t>広告宣伝費・販売促進費負担基準</t>
  </si>
  <si>
    <t>https://www4.kitei-kanri.jp/gf7/seikoepson/browse.php?action_treeList&amp;rule=423&amp;public_id=1</t>
  </si>
  <si>
    <t>SD321-03</t>
  </si>
  <si>
    <t>役務提供に係る費用負担基準</t>
  </si>
  <si>
    <t>https://www4.kitei-kanri.jp/gf7/seikoepson/browse.php?action_treeList&amp;rule=424&amp;public_id=1</t>
  </si>
  <si>
    <t>SD321-04</t>
  </si>
  <si>
    <t>機械等設備の取引価格設定基準</t>
  </si>
  <si>
    <t>https://www4.kitei-kanri.jp/gf7/seikoepson/browse.php?action_treeList&amp;rule=425&amp;public_id=1</t>
  </si>
  <si>
    <t>SD321-05</t>
  </si>
  <si>
    <t>税務監査実施基準</t>
  </si>
  <si>
    <t>https://www4.kitei-kanri.jp/gf7/seikoepson/browse.php?action_treeList&amp;rule=426&amp;public_id=1</t>
  </si>
  <si>
    <t>SD321-06</t>
  </si>
  <si>
    <t>電子帳簿保存法による帳簿書類の電子保存基準</t>
  </si>
  <si>
    <t>https://www4.kitei-kanri.jp/gf7/seikoepson/browse.php?action_treeList&amp;rule=427&amp;public_id=1</t>
  </si>
  <si>
    <t>SD331</t>
  </si>
  <si>
    <t>金銭会計規程</t>
  </si>
  <si>
    <t>https://www4.kitei-kanri.jp/gf7/seikoepson/browse.php?action_treeList&amp;rule=428&amp;public_id=1</t>
  </si>
  <si>
    <t>SD331-01</t>
  </si>
  <si>
    <t>相殺処理基準</t>
  </si>
  <si>
    <t>https://www4.kitei-kanri.jp/gf7/seikoepson/browse.php?action_treeList&amp;rule=101&amp;public_id=1</t>
  </si>
  <si>
    <t>SD331-02</t>
  </si>
  <si>
    <t>金銭会計基準</t>
  </si>
  <si>
    <t>https://www4.kitei-kanri.jp/gf7/seikoepson/browse.php?action_treeList&amp;rule=102&amp;public_id=1</t>
  </si>
  <si>
    <t>SD332</t>
  </si>
  <si>
    <t>資金管理規程</t>
  </si>
  <si>
    <t>https://www4.kitei-kanri.jp/gf7/seikoepson/browse.php?action_treeList&amp;rule=429&amp;public_id=1</t>
  </si>
  <si>
    <t>SD332-01</t>
  </si>
  <si>
    <t>資金管理基準</t>
  </si>
  <si>
    <t>https://www4.kitei-kanri.jp/gf7/seikoepson/browse.php?action_treeList&amp;rule=430&amp;public_id=1</t>
  </si>
  <si>
    <t>SD332-02</t>
  </si>
  <si>
    <t>支払条件設定基準</t>
  </si>
  <si>
    <t>https://www4.kitei-kanri.jp/gf7/seikoepson/browse.php?action_treeList&amp;rule=431&amp;public_id=1</t>
  </si>
  <si>
    <t>SD333</t>
  </si>
  <si>
    <t>為替管理規程</t>
  </si>
  <si>
    <t>https://www4.kitei-kanri.jp/gf7/seikoepson/browse.php?action_treeList&amp;rule=432&amp;public_id=1</t>
  </si>
  <si>
    <t>SD333-01</t>
  </si>
  <si>
    <t>為替管理基準</t>
  </si>
  <si>
    <t>https://www4.kitei-kanri.jp/gf7/seikoepson/browse.php?action_treeList&amp;rule=103&amp;public_id=1</t>
  </si>
  <si>
    <t>SD341</t>
  </si>
  <si>
    <t>予算管理・管理会計規程</t>
  </si>
  <si>
    <t>https://www4.kitei-kanri.jp/gf7/seikoepson/browse.php?action_treeList&amp;rule=672&amp;public_id=1</t>
  </si>
  <si>
    <t>SD341-01</t>
  </si>
  <si>
    <t>予算管理運用基準</t>
  </si>
  <si>
    <t>https://www4.kitei-kanri.jp/gf7/seikoepson/browse.php?action_treeList&amp;rule=104&amp;public_id=1</t>
  </si>
  <si>
    <t>SD341-02</t>
  </si>
  <si>
    <t>グループ内取引基準</t>
  </si>
  <si>
    <t>https://www4.kitei-kanri.jp/gf7/seikoepson/browse.php?action_treeList&amp;rule=537&amp;public_id=1</t>
  </si>
  <si>
    <t>SD341-03</t>
  </si>
  <si>
    <t>グループ内資本政策基準</t>
  </si>
  <si>
    <t>https://www4.kitei-kanri.jp/gf7/seikoepson/browse.php?action_treeList&amp;rule=434&amp;public_id=1</t>
  </si>
  <si>
    <t>SD341-04</t>
  </si>
  <si>
    <t>管理会計基準</t>
  </si>
  <si>
    <t>https://www4.kitei-kanri.jp/gf7/seikoepson/browse.php?action_treeList&amp;rule=759&amp;public_id=1</t>
  </si>
  <si>
    <t>SD411</t>
  </si>
  <si>
    <t>知的財産権管理規程</t>
  </si>
  <si>
    <t>https://www4.kitei-kanri.jp/gf7/seikoepson/browse.php?action_treeList&amp;rule=435&amp;public_id=1</t>
  </si>
  <si>
    <t>DEVELOPMENT_INTANGIBLE_ASSETS</t>
  </si>
  <si>
    <t>SD411-01</t>
  </si>
  <si>
    <t>特許意匠報奨基準</t>
  </si>
  <si>
    <t>https://www4.kitei-kanri.jp/gf7/seikoepson/browse.php?action_treeList&amp;rule=615&amp;public_id=1</t>
  </si>
  <si>
    <t>SD411-02</t>
  </si>
  <si>
    <t>特許意匠出願報奨運用基準</t>
  </si>
  <si>
    <t>https://www4.kitei-kanri.jp/gf7/seikoepson/browse.php?action_treeList&amp;rule=616&amp;public_id=1</t>
  </si>
  <si>
    <t>SD411-03</t>
  </si>
  <si>
    <t>特許意匠登録報奨運用基準</t>
  </si>
  <si>
    <t>https://www4.kitei-kanri.jp/gf7/seikoepson/browse.php?action_treeList&amp;rule=617&amp;public_id=1</t>
  </si>
  <si>
    <t>SD411-04</t>
  </si>
  <si>
    <t>特許意匠ライセンス実績報奨運用基準</t>
  </si>
  <si>
    <t>https://www4.kitei-kanri.jp/gf7/seikoepson/browse.php?action_treeList&amp;rule=436&amp;public_id=1</t>
  </si>
  <si>
    <t>SD411-05</t>
  </si>
  <si>
    <t>秘匿管理発明報奨運用基準</t>
  </si>
  <si>
    <t>https://www4.kitei-kanri.jp/gf7/seikoepson/browse.php?action_treeList&amp;rule=619&amp;public_id=1</t>
  </si>
  <si>
    <t>SD411-06</t>
  </si>
  <si>
    <t>特許意匠自社実施報奨運用基準</t>
  </si>
  <si>
    <t>https://www4.kitei-kanri.jp/gf7/seikoepson/browse.php?action_treeList&amp;rule=437&amp;public_id=1</t>
  </si>
  <si>
    <t>SD411-07</t>
  </si>
  <si>
    <t>BP認定貢献報奨運用基準</t>
  </si>
  <si>
    <t>https://www4.kitei-kanri.jp/gf7/seikoepson/browse.php?action_treeList&amp;rule=620&amp;public_id=1</t>
  </si>
  <si>
    <t>SD411-08</t>
  </si>
  <si>
    <t>社外発明意匠表彰受賞に対する特別表彰運用基準</t>
  </si>
  <si>
    <t>https://www4.kitei-kanri.jp/gf7/seikoepson/browse.php?action_treeList&amp;rule=621&amp;public_id=1</t>
  </si>
  <si>
    <t>SD411-09</t>
  </si>
  <si>
    <t>特許意匠事業貢献特別報奨運用基準</t>
  </si>
  <si>
    <t>https://www4.kitei-kanri.jp/gf7/seikoepson/browse.php?action_treeList&amp;rule=622&amp;public_id=1</t>
  </si>
  <si>
    <t>SD411-10</t>
  </si>
  <si>
    <t>チャレンジIP活動表彰運用基準</t>
  </si>
  <si>
    <t>https://www4.kitei-kanri.jp/gf7/seikoepson/browse.php?action_treeList&amp;rule=623&amp;public_id=1</t>
  </si>
  <si>
    <t>SD421</t>
  </si>
  <si>
    <t>ブランド規程</t>
  </si>
  <si>
    <t>https://www4.kitei-kanri.jp/gf7/seikoepson/browse.php?action_treeList&amp;rule=438&amp;public_id=1</t>
  </si>
  <si>
    <t>SD422</t>
  </si>
  <si>
    <t>名称管理規程</t>
  </si>
  <si>
    <t>https://www4.kitei-kanri.jp/gf7/seikoepson/browse.php?action_treeList&amp;rule=439&amp;public_id=1</t>
  </si>
  <si>
    <t>SD431</t>
  </si>
  <si>
    <t>商標管理規程</t>
  </si>
  <si>
    <t>https://www4.kitei-kanri.jp/gf7/seikoepson/browse.php?action_treeList&amp;rule=624&amp;public_id=1</t>
  </si>
  <si>
    <t>SD431-01</t>
  </si>
  <si>
    <t>商標管理基準</t>
  </si>
  <si>
    <t>https://www4.kitei-kanri.jp/gf7/seikoepson/browse.php?action_treeList&amp;rule=625&amp;public_id=1</t>
  </si>
  <si>
    <t>SD432</t>
  </si>
  <si>
    <t>ドメインネーム管理規程</t>
  </si>
  <si>
    <t>https://www4.kitei-kanri.jp/gf7/seikoepson/browse.php?action_treeList&amp;rule=626&amp;public_id=1</t>
  </si>
  <si>
    <t>SD501</t>
  </si>
  <si>
    <t>販売管理規程</t>
  </si>
  <si>
    <t>https://www4.kitei-kanri.jp/gf7/seikoepson/browse.php?action_treeList&amp;rule=627&amp;public_id=1</t>
  </si>
  <si>
    <t>SALES</t>
  </si>
  <si>
    <t>SD502</t>
  </si>
  <si>
    <t>招待規程</t>
  </si>
  <si>
    <t>https://www4.kitei-kanri.jp/gf7/seikoepson/browse.php?action_treeList&amp;rule=628&amp;public_id=1</t>
  </si>
  <si>
    <t>SD511</t>
  </si>
  <si>
    <t>債権管理規程</t>
  </si>
  <si>
    <t>https://www4.kitei-kanri.jp/gf7/seikoepson/browse.php?action_treeList&amp;rule=629&amp;public_id=1</t>
  </si>
  <si>
    <t>SD511-01</t>
  </si>
  <si>
    <t>新規継続取引先の設定基準</t>
  </si>
  <si>
    <t>https://www4.kitei-kanri.jp/gf7/seikoepson/browse.php?action_treeList&amp;rule=105&amp;public_id=1</t>
  </si>
  <si>
    <t>SD511-02</t>
  </si>
  <si>
    <t>新規スポット・少額取引先の設定基準</t>
  </si>
  <si>
    <t>https://www4.kitei-kanri.jp/gf7/seikoepson/browse.php?action_treeList&amp;rule=106&amp;public_id=1</t>
  </si>
  <si>
    <t>SD511-03</t>
  </si>
  <si>
    <t>既取引先の継続管理基準</t>
  </si>
  <si>
    <t>https://www4.kitei-kanri.jp/gf7/seikoepson/browse.php?action_treeList&amp;rule=107&amp;public_id=1</t>
  </si>
  <si>
    <t>SD511-04</t>
  </si>
  <si>
    <t>異常取引先の特別管理基準</t>
  </si>
  <si>
    <t>https://www4.kitei-kanri.jp/gf7/seikoepson/browse.php?action_treeList&amp;rule=108&amp;public_id=1</t>
  </si>
  <si>
    <t>SD511-05</t>
  </si>
  <si>
    <t>新規取引先への与信限度額設定基準</t>
  </si>
  <si>
    <t>https://www4.kitei-kanri.jp/gf7/seikoepson/browse.php?action_treeList&amp;rule=109&amp;public_id=1</t>
  </si>
  <si>
    <t>SD511-06</t>
  </si>
  <si>
    <t>既取引先の与信限度額継続管理基準</t>
  </si>
  <si>
    <t>https://www4.kitei-kanri.jp/gf7/seikoepson/browse.php?action_treeList&amp;rule=110&amp;public_id=1</t>
  </si>
  <si>
    <t>SD511-07</t>
  </si>
  <si>
    <t>異常取引先への与信限度額管理基準</t>
  </si>
  <si>
    <t>https://www4.kitei-kanri.jp/gf7/seikoepson/browse.php?action_treeList&amp;rule=111&amp;public_id=1</t>
  </si>
  <si>
    <t>SD511-08</t>
  </si>
  <si>
    <t>債権回収管理基準</t>
  </si>
  <si>
    <t>https://www4.kitei-kanri.jp/gf7/seikoepson/browse.php?action_treeList&amp;rule=112&amp;public_id=1</t>
  </si>
  <si>
    <t>SD511-09</t>
  </si>
  <si>
    <t>回収不能債権の処理基準</t>
  </si>
  <si>
    <t>https://www4.kitei-kanri.jp/gf7/seikoepson/browse.php?action_treeList&amp;rule=113&amp;public_id=1</t>
  </si>
  <si>
    <t>SD611</t>
  </si>
  <si>
    <t>技能認定競技会規程</t>
  </si>
  <si>
    <t>https://www4.kitei-kanri.jp/gf7/seikoepson/browse.php?action_treeList&amp;rule=440&amp;public_id=1</t>
  </si>
  <si>
    <t>TECHNOLOGY_AND_QUALITY</t>
  </si>
  <si>
    <t>SD621</t>
  </si>
  <si>
    <t>E-KAIZEN活動規程</t>
  </si>
  <si>
    <t>https://www4.kitei-kanri.jp/gf7/seikoepson/browse.php?action_treeList&amp;rule=630&amp;public_id=1</t>
  </si>
  <si>
    <t>SD621-01</t>
  </si>
  <si>
    <t>E-KAIZEN活動基準</t>
  </si>
  <si>
    <t>https://www4.kitei-kanri.jp/gf7/seikoepson/browse.php?action_treeList&amp;rule=631&amp;public_id=1</t>
  </si>
  <si>
    <t>SD622</t>
  </si>
  <si>
    <t>品質保証規程</t>
  </si>
  <si>
    <t>https://www4.kitei-kanri.jp/gf7/seikoepson/browse.php?action_treeList&amp;rule=632&amp;public_id=1</t>
  </si>
  <si>
    <t>SD622-01</t>
  </si>
  <si>
    <t>品質管理教育基準</t>
  </si>
  <si>
    <t>https://www4.kitei-kanri.jp/gf7/seikoepson/browse.php?action_treeList&amp;rule=633&amp;public_id=1</t>
  </si>
  <si>
    <t>SD622-02</t>
  </si>
  <si>
    <t>EPSON QUALITY STANDARD管理基準</t>
  </si>
  <si>
    <t>https://www4.kitei-kanri.jp/gf7/seikoepson/browse.php?action_treeList&amp;rule=634&amp;public_id=1</t>
  </si>
  <si>
    <t>SD622-03</t>
  </si>
  <si>
    <t>Aコスト把握基準</t>
  </si>
  <si>
    <t>https://www4.kitei-kanri.jp/gf7/seikoepson/browse.php?action_treeList&amp;rule=114&amp;public_id=1</t>
  </si>
  <si>
    <t>SD622-04</t>
  </si>
  <si>
    <t>QFコスト把握基準</t>
  </si>
  <si>
    <t>https://www4.kitei-kanri.jp/gf7/seikoepson/browse.php?action_treeList&amp;rule=635&amp;public_id=1</t>
  </si>
  <si>
    <t>SD622-05</t>
  </si>
  <si>
    <t>SSコスト把握基準</t>
  </si>
  <si>
    <t>https://www4.kitei-kanri.jp/gf7/seikoepson/browse.php?action_treeList&amp;rule=115&amp;public_id=1</t>
  </si>
  <si>
    <t>SD622-06</t>
  </si>
  <si>
    <t>品質マネジメントシステム運用基準</t>
  </si>
  <si>
    <t>https://www4.kitei-kanri.jp/gf7/seikoepson/browse.php?action_treeList&amp;rule=636&amp;public_id=1</t>
  </si>
  <si>
    <t>SD622-07</t>
  </si>
  <si>
    <t>内部品質監査基準</t>
  </si>
  <si>
    <t>https://www4.kitei-kanri.jp/gf7/seikoepson/browse.php?action_treeList&amp;rule=637&amp;public_id=1</t>
  </si>
  <si>
    <t>SD622-08</t>
  </si>
  <si>
    <t>ISO9001内部品質監査者認定制度運用基準</t>
  </si>
  <si>
    <t>https://www4.kitei-kanri.jp/gf7/seikoepson/browse.php?action_treeList&amp;rule=638&amp;public_id=1</t>
  </si>
  <si>
    <t>SD623</t>
  </si>
  <si>
    <t>製品安全性管理規程</t>
  </si>
  <si>
    <t>https://www4.kitei-kanri.jp/gf7/seikoepson/browse.php?action_treeList&amp;rule=644&amp;public_id=1</t>
  </si>
  <si>
    <t>SD623-01</t>
  </si>
  <si>
    <t>製品安全性保証基準</t>
  </si>
  <si>
    <t>https://www4.kitei-kanri.jp/gf7/seikoepson/browse.php?action_treeList&amp;rule=639&amp;public_id=1</t>
  </si>
  <si>
    <t>SD623-02</t>
  </si>
  <si>
    <t>製品EMC管理基準</t>
  </si>
  <si>
    <t>https://www4.kitei-kanri.jp/gf7/seikoepson/browse.php?action_treeList&amp;rule=640&amp;public_id=1</t>
  </si>
  <si>
    <t>SD623-03</t>
  </si>
  <si>
    <t>販売機能を有する会社の独自調達品に関する運用基準</t>
  </si>
  <si>
    <t>https://www4.kitei-kanri.jp/gf7/seikoepson/browse.php?action_treeList&amp;rule=265&amp;public_id=1</t>
  </si>
  <si>
    <t>SD623-04</t>
  </si>
  <si>
    <t>EMC測定技術者認定制度基準</t>
  </si>
  <si>
    <t>https://www4.kitei-kanri.jp/gf7/seikoepson/browse.php?action_treeList&amp;rule=642&amp;public_id=1</t>
  </si>
  <si>
    <t>SD623-05</t>
  </si>
  <si>
    <t>製品品質に関わる法規制情報の収集運用基準</t>
  </si>
  <si>
    <t>https://www4.kitei-kanri.jp/gf7/seikoepson/browse.php?action_treeList&amp;rule=643&amp;public_id=1</t>
  </si>
  <si>
    <t>SD623-06</t>
  </si>
  <si>
    <t>販売機能を有する会社による製品品質に関わる法規制適合品販売基準</t>
  </si>
  <si>
    <t>https://www4.kitei-kanri.jp/gf7/seikoepson/browse.php?action_treeList&amp;rule=645&amp;public_id=1</t>
  </si>
  <si>
    <t>SD623-07</t>
  </si>
  <si>
    <t>化学製品管理基準</t>
  </si>
  <si>
    <t>https://www4.kitei-kanri.jp/gf7/seikoepson/browse.php?action_treeList&amp;rule=646&amp;public_id=1</t>
  </si>
  <si>
    <t>SD624</t>
  </si>
  <si>
    <t>品質問題管理規程</t>
  </si>
  <si>
    <t>https://www4.kitei-kanri.jp/gf7/seikoepson/browse.php?action_treeList&amp;rule=647&amp;public_id=1</t>
  </si>
  <si>
    <t>SD624-01</t>
  </si>
  <si>
    <t>重大品質事故・重要品質問題処理基準</t>
  </si>
  <si>
    <t>https://www4.kitei-kanri.jp/gf7/seikoepson/browse.php?action_treeList&amp;rule=648&amp;public_id=1</t>
  </si>
  <si>
    <t>SD624-02</t>
  </si>
  <si>
    <t>QCMシステム基準</t>
  </si>
  <si>
    <t>https://www4.kitei-kanri.jp/gf7/seikoepson/browse.php?action_treeList&amp;rule=649&amp;public_id=1</t>
  </si>
  <si>
    <t>SD624-03</t>
  </si>
  <si>
    <t>製品瑕疵による顧客特別対応基準</t>
  </si>
  <si>
    <t>https://www4.kitei-kanri.jp/gf7/seikoepson/browse.php?action_treeList&amp;rule=650&amp;public_id=1</t>
  </si>
  <si>
    <t>SD624-04</t>
  </si>
  <si>
    <t>製品安全市場事故発生時の対応基準</t>
  </si>
  <si>
    <t>https://www4.kitei-kanri.jp/gf7/seikoepson/browse.php?action_treeList&amp;rule=651&amp;public_id=1</t>
  </si>
  <si>
    <t>SD631</t>
  </si>
  <si>
    <t>AI管理規程</t>
  </si>
  <si>
    <t>https://www4.kitei-kanri.jp/gf7/seikoepson/browse.php?action_treeList&amp;rule=789&amp;public_id=1</t>
  </si>
  <si>
    <t>SD701</t>
  </si>
  <si>
    <t>生産管理規程</t>
  </si>
  <si>
    <t>https://www4.kitei-kanri.jp/gf7/seikoepson/browse.php?action_treeList&amp;rule=441&amp;public_id=1</t>
  </si>
  <si>
    <t>PRODUCTION_LOGISTICS</t>
  </si>
  <si>
    <t>SD711</t>
  </si>
  <si>
    <t>調達管理規程</t>
  </si>
  <si>
    <t>https://www4.kitei-kanri.jp/gf7/seikoepson/browse.php?action_treeList&amp;rule=442&amp;public_id=1</t>
  </si>
  <si>
    <t>SD711-01</t>
  </si>
  <si>
    <t>調達管理運用基準</t>
  </si>
  <si>
    <t>https://www4.kitei-kanri.jp/gf7/seikoepson/browse.php?action_treeList&amp;rule=443&amp;public_id=1</t>
  </si>
  <si>
    <t>SD711-02</t>
  </si>
  <si>
    <t>調達先選定・終了手続基準</t>
  </si>
  <si>
    <t>https://www4.kitei-kanri.jp/gf7/seikoepson/browse.php?action_treeList&amp;rule=444&amp;public_id=1</t>
  </si>
  <si>
    <t>SD711-03</t>
  </si>
  <si>
    <t>調達に関わる手続基準</t>
  </si>
  <si>
    <t>https://www4.kitei-kanri.jp/gf7/seikoepson/browse.php?action_treeList&amp;rule=445&amp;public_id=1</t>
  </si>
  <si>
    <t>SD711-04</t>
  </si>
  <si>
    <t>調達先定期評価手続基準</t>
  </si>
  <si>
    <t>https://www4.kitei-kanri.jp/gf7/seikoepson/browse.php?action_treeList&amp;rule=446&amp;public_id=1</t>
  </si>
  <si>
    <t>SD711-05</t>
  </si>
  <si>
    <t>サプライヤーCSRデューデリジェンス基準</t>
  </si>
  <si>
    <t>https://www4.kitei-kanri.jp/gf7/seikoepson/browse.php?action_treeList&amp;rule=447&amp;public_id=1</t>
  </si>
  <si>
    <t>SD711-06</t>
  </si>
  <si>
    <t>鉱物調査基準</t>
  </si>
  <si>
    <t>https://www4.kitei-kanri.jp/gf7/seikoepson/browse.php?action_treeList&amp;rule=499&amp;public_id=1</t>
  </si>
  <si>
    <t>SD711-07</t>
  </si>
  <si>
    <t>下請法・フリーランス法遵守基準</t>
  </si>
  <si>
    <t>https://www4.kitei-kanri.jp/gf7/seikoepson/browse.php?action_treeList&amp;rule=449&amp;public_id=1</t>
  </si>
  <si>
    <t>SD721</t>
  </si>
  <si>
    <t>貿易管理基本規程</t>
  </si>
  <si>
    <t>https://www4.kitei-kanri.jp/gf7/seikoepson/browse.php?action_treeList&amp;rule=716&amp;public_id=1</t>
  </si>
  <si>
    <t>SD721-01</t>
  </si>
  <si>
    <t>貿易管理に係る事故等処理基準</t>
  </si>
  <si>
    <t>https://www4.kitei-kanri.jp/gf7/seikoepson/browse.php?action_treeList&amp;rule=719&amp;public_id=1</t>
  </si>
  <si>
    <t>SD721-02</t>
  </si>
  <si>
    <t>貿易管理に係る内部監査実施基準</t>
  </si>
  <si>
    <t>https://www4.kitei-kanri.jp/gf7/seikoepson/browse.php?action_treeList&amp;rule=717&amp;public_id=1</t>
  </si>
  <si>
    <t>SD722</t>
  </si>
  <si>
    <t>安全保障貿易管理規程</t>
  </si>
  <si>
    <t>https://www4.kitei-kanri.jp/gf7/seikoepson/browse.php?action_treeList&amp;rule=721&amp;public_id=1</t>
  </si>
  <si>
    <t>SD722-01</t>
  </si>
  <si>
    <t>安全保障貿易管理に係る顧客審査基準</t>
  </si>
  <si>
    <t>https://www4.kitei-kanri.jp/gf7/seikoepson/browse.php?action_treeList&amp;rule=116&amp;public_id=1</t>
  </si>
  <si>
    <t>SD722-02</t>
  </si>
  <si>
    <t>安全保障貿易管理に係る該非判定基準</t>
  </si>
  <si>
    <t>https://www4.kitei-kanri.jp/gf7/seikoepson/browse.php?action_treeList&amp;rule=117&amp;public_id=1</t>
  </si>
  <si>
    <t>SD722-03</t>
  </si>
  <si>
    <t>貿易管理に係る取引審査基準</t>
  </si>
  <si>
    <t>https://www4.kitei-kanri.jp/gf7/seikoepson/browse.php?action_treeList&amp;rule=118&amp;public_id=1</t>
  </si>
  <si>
    <t>SD722-04</t>
  </si>
  <si>
    <t>安全保障貿易管理に係る特定機械装置等管理基準</t>
  </si>
  <si>
    <t>https://www4.kitei-kanri.jp/gf7/seikoepson/browse.php?action_treeList&amp;rule=718&amp;public_id=1</t>
  </si>
  <si>
    <t>SD723</t>
  </si>
  <si>
    <t>輸出入業務管理規程</t>
  </si>
  <si>
    <t>https://www4.kitei-kanri.jp/gf7/seikoepson/browse.php?action_treeList&amp;rule=722&amp;public_id=1</t>
  </si>
  <si>
    <t>SD723-01</t>
  </si>
  <si>
    <t>貿易管理に係る輸出入手続基準</t>
  </si>
  <si>
    <t>https://www4.kitei-kanri.jp/gf7/seikoepson/browse.php?action_treeList&amp;rule=119&amp;public_id=1</t>
  </si>
  <si>
    <t>SD723-02</t>
  </si>
  <si>
    <t>コンテナ総重量算出基準</t>
  </si>
  <si>
    <t>https://www4.kitei-kanri.jp/gf7/seikoepson/browse.php?action_treeList&amp;rule=720&amp;public_id=1</t>
  </si>
  <si>
    <t>SD724</t>
  </si>
  <si>
    <t>危険有害物質の国際輸送管理規程</t>
  </si>
  <si>
    <t>https://www4.kitei-kanri.jp/gf7/seikoepson/browse.php?action_treeList&amp;rule=724&amp;public_id=1</t>
  </si>
  <si>
    <t>SD725</t>
  </si>
  <si>
    <t>貿易管理に係るセキュリティー規程</t>
  </si>
  <si>
    <t>https://www4.kitei-kanri.jp/gf7/seikoepson/browse.php?action_treeList&amp;rule=725&amp;public_id=1</t>
  </si>
  <si>
    <t>SD725-01</t>
  </si>
  <si>
    <t>航空貨物保安対策基準</t>
  </si>
  <si>
    <t>https://www4.kitei-kanri.jp/gf7/seikoepson/browse.php?action_treeList&amp;rule=723&amp;public_id=1</t>
  </si>
  <si>
    <t>SD811</t>
  </si>
  <si>
    <t>情報セキュリティ規程</t>
  </si>
  <si>
    <t>https://www4.kitei-kanri.jp/gf7/seikoepson/browse.php?action_treeList&amp;rule=661&amp;public_id=1</t>
  </si>
  <si>
    <t>INFORMATION</t>
  </si>
  <si>
    <t>SD811-01</t>
  </si>
  <si>
    <t>情報セキュリティ管理基準</t>
  </si>
  <si>
    <t>https://www4.kitei-kanri.jp/gf7/seikoepson/browse.php?action_treeList&amp;rule=120&amp;public_id=1</t>
  </si>
  <si>
    <t>SD811-02</t>
  </si>
  <si>
    <t>情報取扱基準</t>
  </si>
  <si>
    <t>https://www4.kitei-kanri.jp/gf7/seikoepson/browse.php?action_treeList&amp;rule=121&amp;public_id=1</t>
  </si>
  <si>
    <t>SD811-03</t>
  </si>
  <si>
    <t>情報セキュリティインシデント管理基準</t>
  </si>
  <si>
    <t>https://www4.kitei-kanri.jp/gf7/seikoepson/browse.php?action_treeList&amp;rule=122&amp;public_id=1</t>
  </si>
  <si>
    <t>SD812</t>
  </si>
  <si>
    <t>情報システム利用規程</t>
  </si>
  <si>
    <t>https://www4.kitei-kanri.jp/gf7/seikoepson/browse.php?action_treeList&amp;rule=662&amp;public_id=1</t>
  </si>
  <si>
    <t>SD812-01</t>
  </si>
  <si>
    <t>情報システム及び外部記憶媒体利用基準</t>
  </si>
  <si>
    <t>https://www4.kitei-kanri.jp/gf7/seikoepson/browse.php?action_treeList&amp;rule=123&amp;public_id=1</t>
  </si>
  <si>
    <t>SD812-02</t>
  </si>
  <si>
    <t>イントラネットのアカウント付与基準</t>
  </si>
  <si>
    <t>https://www4.kitei-kanri.jp/gf7/seikoepson/browse.php?action_treeList&amp;rule=663&amp;public_id=1</t>
  </si>
  <si>
    <t>SD813</t>
  </si>
  <si>
    <t>個人情報保護規程</t>
  </si>
  <si>
    <t>https://www4.kitei-kanri.jp/gf7/seikoepson/browse.php?action_treeList&amp;rule=664&amp;public_id=1</t>
  </si>
  <si>
    <t>SD813-01</t>
  </si>
  <si>
    <t>個人情報保護基準</t>
  </si>
  <si>
    <t>https://www4.kitei-kanri.jp/gf7/seikoepson/browse.php?action_treeList&amp;rule=124&amp;public_id=1</t>
  </si>
  <si>
    <t>SD813-02</t>
  </si>
  <si>
    <t>社員個人情報保護基準</t>
  </si>
  <si>
    <t>https://www4.kitei-kanri.jp/gf7/seikoepson/browse.php?action_treeList&amp;rule=453&amp;public_id=1</t>
  </si>
  <si>
    <t>SD814</t>
  </si>
  <si>
    <t>特定個人情報管理規程</t>
  </si>
  <si>
    <t>https://www4.kitei-kanri.jp/gf7/seikoepson/browse.php?action_treeList&amp;rule=665&amp;public_id=1</t>
  </si>
  <si>
    <t>SD814-01</t>
  </si>
  <si>
    <t>社員特定個人情報運用基準</t>
  </si>
  <si>
    <t>https://www4.kitei-kanri.jp/gf7/seikoepson/browse.php?action_treeList&amp;rule=125&amp;public_id=1</t>
  </si>
  <si>
    <t>SD821</t>
  </si>
  <si>
    <t>情報化規程</t>
  </si>
  <si>
    <t>https://www4.kitei-kanri.jp/gf7/seikoepson/browse.php?action_treeList&amp;rule=666&amp;public_id=1</t>
  </si>
  <si>
    <t>SD821-01</t>
  </si>
  <si>
    <t>情報化基準</t>
  </si>
  <si>
    <t>https://www4.kitei-kanri.jp/gf7/seikoepson/browse.php?action_treeList&amp;rule=667&amp;public_id=1</t>
  </si>
  <si>
    <t>SD821-02</t>
  </si>
  <si>
    <t>ソフトウェアライセンス管理基準</t>
  </si>
  <si>
    <t>https://www4.kitei-kanri.jp/gf7/seikoepson/browse.php?action_treeList&amp;rule=668&amp;public_id=1</t>
  </si>
  <si>
    <t>SD821-03</t>
  </si>
  <si>
    <t>情報システムセキュリティー基準</t>
  </si>
  <si>
    <t>https://www4.kitei-kanri.jp/gf7/seikoepson/browse.php?action_treeList&amp;rule=669&amp;public_id=1</t>
  </si>
  <si>
    <t>SD821-04</t>
  </si>
  <si>
    <t>情報システムセキュリティー管理基準</t>
  </si>
  <si>
    <t>https://www4.kitei-kanri.jp/gf7/seikoepson/browse.php?action_treeList&amp;rule=126&amp;public_id=1</t>
  </si>
  <si>
    <t>SD821-05</t>
  </si>
  <si>
    <t>情報システム外部接続管理基準</t>
  </si>
  <si>
    <t>https://www4.kitei-kanri.jp/gf7/seikoepson/browse.php?action_treeList&amp;rule=127&amp;public_id=1</t>
  </si>
  <si>
    <t>SD831</t>
  </si>
  <si>
    <t>コード体系管理規程</t>
  </si>
  <si>
    <t>https://www4.kitei-kanri.jp/gf7/seikoepson/browse.php?action_treeList&amp;rule=454&amp;public_id=1</t>
  </si>
  <si>
    <t>SD831-01</t>
  </si>
  <si>
    <t>品目コード管理基準</t>
  </si>
  <si>
    <t>https://www4.kitei-kanri.jp/gf7/seikoepson/browse.php?action_treeList&amp;rule=455&amp;public_id=1</t>
  </si>
  <si>
    <t>SD831-02</t>
  </si>
  <si>
    <t>製品型番管理基準</t>
  </si>
  <si>
    <t>https://www4.kitei-kanri.jp/gf7/seikoepson/browse.php?action_treeList&amp;rule=459&amp;public_id=1</t>
  </si>
  <si>
    <t>SD831-03</t>
  </si>
  <si>
    <t>製品コード管理基準</t>
  </si>
  <si>
    <t>https://www4.kitei-kanri.jp/gf7/seikoepson/browse.php?action_treeList&amp;rule=456&amp;public_id=1</t>
  </si>
  <si>
    <t>SD831-04</t>
  </si>
  <si>
    <t>部品コード管理基準</t>
  </si>
  <si>
    <t>https://www4.kitei-kanri.jp/gf7/seikoepson/browse.php?action_treeList&amp;rule=457&amp;public_id=1</t>
  </si>
  <si>
    <t>SD831-05</t>
  </si>
  <si>
    <t>取引先コード体系管理基準</t>
  </si>
  <si>
    <t>https://www4.kitei-kanri.jp/gf7/seikoepson/browse.php?action_treeList&amp;rule=462&amp;public_id=1</t>
  </si>
  <si>
    <t>GA201</t>
  </si>
  <si>
    <t>エプソングループコンプライアンス基本規程</t>
  </si>
  <si>
    <t>https://www4.kitei-kanri.jp/gf7/seikoepson/browse.php?action_treeList&amp;rule=264&amp;public_id=1</t>
  </si>
  <si>
    <t>GROUP</t>
  </si>
  <si>
    <t>GA221</t>
  </si>
  <si>
    <t>エプソングループ通報制度規程</t>
  </si>
  <si>
    <t>https://www4.kitei-kanri.jp/gf7/seikoepson/browse.php?action_treeList&amp;rule=129&amp;public_id=1</t>
  </si>
  <si>
    <t>GA221-01</t>
  </si>
  <si>
    <t>エプソングループグローバル通報窓口運営基準</t>
  </si>
  <si>
    <t>https://www4.kitei-kanri.jp/gf7/seikoepson/browse.php?action_treeList&amp;rule=130&amp;public_id=1</t>
  </si>
  <si>
    <t>JA221-02</t>
  </si>
  <si>
    <t>エプソングループ内部通報窓口運営基準</t>
  </si>
  <si>
    <t>https://www4.kitei-kanri.jp/gf7/seikoepson/browse.php?action_treeList&amp;rule=510&amp;public_id=1</t>
  </si>
  <si>
    <t>JA221-03</t>
  </si>
  <si>
    <t>エプソングループ調達先通報窓口運営基準</t>
  </si>
  <si>
    <t>https://www4.kitei-kanri.jp/gf7/seikoepson/browse.php?action_treeList&amp;rule=748&amp;public_id=1</t>
  </si>
  <si>
    <t>GA221-04</t>
  </si>
  <si>
    <t>エプソングループ贈収賄・腐敗行為防止、競争法遵守に関する取引先通報窓口運営基準</t>
  </si>
  <si>
    <t>https://www4.kitei-kanri.jp/gf7/seikoepson/browse.php?action_treeList&amp;rule=460&amp;public_id=1</t>
  </si>
  <si>
    <t>GA241</t>
  </si>
  <si>
    <t>エプソングループリスク管理基本規程</t>
  </si>
  <si>
    <t>https://www4.kitei-kanri.jp/gf7/seikoepson/browse.php?action_treeList&amp;rule=263&amp;public_id=1</t>
  </si>
  <si>
    <t>GA241-01</t>
  </si>
  <si>
    <t>エプソングループリスク管理実施基準</t>
  </si>
  <si>
    <t>https://www4.kitei-kanri.jp/gf7/seikoepson/browse.php?action_treeList&amp;rule=799&amp;public_id=1</t>
  </si>
  <si>
    <t>GA242</t>
  </si>
  <si>
    <t>エプソングループ事業継続管理規程</t>
  </si>
  <si>
    <t>https://www4.kitei-kanri.jp/gf7/seikoepson/browse.php?action_treeList&amp;rule=491&amp;public_id=1</t>
  </si>
  <si>
    <t>GA311</t>
  </si>
  <si>
    <t>エプソングループ規範体系管理規程</t>
  </si>
  <si>
    <t>https://www4.kitei-kanri.jp/gf7/seikoepson/browse.php?action_treeList&amp;rule=763&amp;public_id=1</t>
  </si>
  <si>
    <t>GA312</t>
  </si>
  <si>
    <t>エプソングループ規程・基準管理規程</t>
  </si>
  <si>
    <t>https://www4.kitei-kanri.jp/gf7/seikoepson/browse.php?action_treeList&amp;rule=764&amp;public_id=1</t>
  </si>
  <si>
    <t>GA312-01</t>
  </si>
  <si>
    <t>エプソングループ規程・基準作成基準</t>
  </si>
  <si>
    <t>https://www4.kitei-kanri.jp/gf7/seikoepson/browse.php?action_treeList&amp;rule=739&amp;public_id=1</t>
  </si>
  <si>
    <t>GB031</t>
  </si>
  <si>
    <t>エプソングループ関係会社管理規程</t>
  </si>
  <si>
    <t>https://www4.kitei-kanri.jp/gf7/seikoepson/browse.php?action_treeList&amp;rule=765&amp;public_id=1</t>
  </si>
  <si>
    <t>GB121-C</t>
  </si>
  <si>
    <t>エプソングループ危機管理委員会規程</t>
  </si>
  <si>
    <t>https://www4.kitei-kanri.jp/gf7/seikoepson/browse.php?action_treeList&amp;rule=470&amp;public_id=1</t>
  </si>
  <si>
    <t>GB122-C</t>
  </si>
  <si>
    <t>エプソングループAI倫理委員会規程</t>
  </si>
  <si>
    <t>https://www4.kitei-kanri.jp/gf7/seikoepson/browse.php?action_treeList&amp;rule=134&amp;public_id=1</t>
  </si>
  <si>
    <t>GC101</t>
  </si>
  <si>
    <t>エプソングループ人事マネジメント規程</t>
  </si>
  <si>
    <t>https://www4.kitei-kanri.jp/gf7/seikoepson/browse.php?action_treeList&amp;rule=133&amp;public_id=1</t>
  </si>
  <si>
    <t>GC104</t>
  </si>
  <si>
    <t>エプソングループ人権と労働に関する推進規程</t>
  </si>
  <si>
    <t>https://www4.kitei-kanri.jp/gf7/seikoepson/browse.php?action_treeList&amp;rule=135&amp;public_id=1</t>
  </si>
  <si>
    <t>JC151</t>
  </si>
  <si>
    <t>エプソングループ人材開発教育規程</t>
  </si>
  <si>
    <t>https://www4.kitei-kanri.jp/gf7/seikoepson/browse.php?action_treeList&amp;rule=142&amp;public_id=1</t>
  </si>
  <si>
    <t>JC151-01</t>
  </si>
  <si>
    <t>エプソングループ資格取得基準</t>
  </si>
  <si>
    <t>https://www4.kitei-kanri.jp/gf7/seikoepson/browse.php?action_treeList&amp;rule=143&amp;public_id=1</t>
  </si>
  <si>
    <t>JC151-02</t>
  </si>
  <si>
    <t>エプソングループ通信教育等受講基準</t>
  </si>
  <si>
    <t>https://www4.kitei-kanri.jp/gf7/seikoepson/browse.php?action_treeList&amp;rule=144&amp;public_id=1</t>
  </si>
  <si>
    <t>JC151-03</t>
  </si>
  <si>
    <t>エプソングループ社外講習会等参加基準</t>
  </si>
  <si>
    <t>https://www4.kitei-kanri.jp/gf7/seikoepson/browse.php?action_treeList&amp;rule=145&amp;public_id=1</t>
  </si>
  <si>
    <t>JC151-04</t>
  </si>
  <si>
    <t>エプソングループ外部への講師依頼に係る処理基準</t>
  </si>
  <si>
    <t>https://www4.kitei-kanri.jp/gf7/seikoepson/browse.php?action_treeList&amp;rule=146&amp;public_id=1</t>
  </si>
  <si>
    <t>JC151-05</t>
  </si>
  <si>
    <t>エプソングループ講師派遣基準</t>
  </si>
  <si>
    <t>https://www4.kitei-kanri.jp/gf7/seikoepson/browse.php?action_treeList&amp;rule=147&amp;public_id=1</t>
  </si>
  <si>
    <t>JC163-C</t>
  </si>
  <si>
    <t>エプソングループ従業員持株会規程</t>
  </si>
  <si>
    <t>https://www4.kitei-kanri.jp/gf7/seikoepson/browse.php?action_treeList&amp;rule=148&amp;public_id=1</t>
  </si>
  <si>
    <t>GD011-C</t>
  </si>
  <si>
    <t>エプソングループ経営計画管理規程</t>
  </si>
  <si>
    <t>https://www4.kitei-kanri.jp/gf7/seikoepson/browse.php?action_treeList&amp;rule=136&amp;public_id=1</t>
  </si>
  <si>
    <t>GD012</t>
  </si>
  <si>
    <t>エプソングループ設備投資管理規程</t>
  </si>
  <si>
    <t>https://www4.kitei-kanri.jp/gf7/seikoepson/browse.php?action_treeList&amp;rule=740&amp;public_id=1</t>
  </si>
  <si>
    <t>GD012-01</t>
  </si>
  <si>
    <t>エプソングループ設備投資管理基準</t>
  </si>
  <si>
    <t>https://www4.kitei-kanri.jp/gf7/seikoepson/browse.php?action_treeList&amp;rule=741&amp;public_id=1</t>
  </si>
  <si>
    <t>GD012-02</t>
  </si>
  <si>
    <t>エプソングループ設備投資連結管理基準</t>
  </si>
  <si>
    <t>https://www4.kitei-kanri.jp/gf7/seikoepson/browse.php?action_treeList&amp;rule=742&amp;public_id=1</t>
  </si>
  <si>
    <t>GD021-C</t>
  </si>
  <si>
    <t>エプソングループ社長賞規程</t>
  </si>
  <si>
    <t>https://www4.kitei-kanri.jp/gf7/seikoepson/browse.php?action_treeList&amp;rule=137&amp;public_id=1</t>
  </si>
  <si>
    <t>GD022-C</t>
  </si>
  <si>
    <t>エプソングループテーマ表彰規程</t>
  </si>
  <si>
    <t>https://www4.kitei-kanri.jp/gf7/seikoepson/browse.php?action_treeList&amp;rule=138&amp;public_id=1</t>
  </si>
  <si>
    <t>JD023-C</t>
  </si>
  <si>
    <t>エプソングループ技能特別表彰規程</t>
  </si>
  <si>
    <t>https://www4.kitei-kanri.jp/gf7/seikoepson/browse.php?action_treeList&amp;rule=139&amp;public_id=1</t>
  </si>
  <si>
    <t>GD031</t>
  </si>
  <si>
    <t>エプソングループコミュニケーション規程</t>
  </si>
  <si>
    <t>https://www4.kitei-kanri.jp/gf7/seikoepson/browse.php?action_treeList&amp;rule=163&amp;public_id=1</t>
  </si>
  <si>
    <t>GD031-01</t>
  </si>
  <si>
    <t>エプソングループソーシャルメディアによるコミュニケーション基準</t>
  </si>
  <si>
    <t>https://www4.kitei-kanri.jp/gf7/seikoepson/browse.php?action_treeList&amp;rule=472&amp;public_id=1</t>
  </si>
  <si>
    <t>GD031-02</t>
  </si>
  <si>
    <t>エプソングループソーシャルメディア運用基準</t>
  </si>
  <si>
    <t>https://www4.kitei-kanri.jp/gf7/seikoepson/browse.php?action_treeList&amp;rule=473&amp;public_id=1</t>
  </si>
  <si>
    <t>GD032</t>
  </si>
  <si>
    <t>エプソングループインターネットコミュニケーション規程</t>
  </si>
  <si>
    <t>https://www4.kitei-kanri.jp/gf7/seikoepson/browse.php?action_treeList&amp;rule=474&amp;public_id=1</t>
  </si>
  <si>
    <t>GD032-01</t>
  </si>
  <si>
    <t>エプソングループウェブサイト運用基準</t>
  </si>
  <si>
    <t>https://www4.kitei-kanri.jp/gf7/seikoepson/browse.php?action_treeList&amp;rule=475&amp;public_id=1</t>
  </si>
  <si>
    <t>GD033</t>
  </si>
  <si>
    <t>エプソングループ表示管理規程</t>
  </si>
  <si>
    <t>https://www4.kitei-kanri.jp/gf7/seikoepson/browse.php?action_treeList&amp;rule=484&amp;public_id=1</t>
  </si>
  <si>
    <t>GD041</t>
  </si>
  <si>
    <t>エプソングループCSR管理規程</t>
  </si>
  <si>
    <t>https://www4.kitei-kanri.jp/gf7/seikoepson/browse.php?action_treeList&amp;rule=164&amp;public_id=1</t>
  </si>
  <si>
    <t>GD041-01</t>
  </si>
  <si>
    <t>エプソングループCSR運用基準</t>
  </si>
  <si>
    <t>https://www4.kitei-kanri.jp/gf7/seikoepson/browse.php?action_treeList&amp;rule=165&amp;public_id=1</t>
  </si>
  <si>
    <t>GD051</t>
  </si>
  <si>
    <t>エプソングループ寄付規程</t>
  </si>
  <si>
    <t>https://www4.kitei-kanri.jp/gf7/seikoepson/browse.php?action_treeList&amp;rule=485&amp;public_id=1</t>
  </si>
  <si>
    <t>GD052</t>
  </si>
  <si>
    <t>エプソングループスポンサーシップ規程</t>
  </si>
  <si>
    <t>https://www4.kitei-kanri.jp/gf7/seikoepson/browse.php?action_treeList&amp;rule=487&amp;public_id=1</t>
  </si>
  <si>
    <t>GD061-C</t>
  </si>
  <si>
    <t>エプソングループ内部監査基本規程</t>
  </si>
  <si>
    <t>https://www4.kitei-kanri.jp/gf7/seikoepson/browse.php?action_treeList&amp;rule=380&amp;public_id=1</t>
  </si>
  <si>
    <t>GD062-C</t>
  </si>
  <si>
    <t>エプソングループ内部監査統括部門監査規程</t>
  </si>
  <si>
    <t>https://www4.kitei-kanri.jp/gf7/seikoepson/browse.php?action_treeList&amp;rule=268&amp;public_id=1</t>
  </si>
  <si>
    <t>GD071</t>
  </si>
  <si>
    <t>エプソングループ財務報告内部統制の基本規程</t>
  </si>
  <si>
    <t>https://www4.kitei-kanri.jp/gf7/seikoepson/browse.php?action_treeList&amp;rule=168&amp;public_id=1</t>
  </si>
  <si>
    <t>GD071-01</t>
  </si>
  <si>
    <t>エプソングループ財務報告内部統制の管理基準</t>
  </si>
  <si>
    <t>https://www4.kitei-kanri.jp/gf7/seikoepson/browse.php?action_treeList&amp;rule=169&amp;public_id=1</t>
  </si>
  <si>
    <t>GD071-02</t>
  </si>
  <si>
    <t>エプソングループ財務報告内部統制の手続基準</t>
  </si>
  <si>
    <t>https://www4.kitei-kanri.jp/gf7/seikoepson/browse.php?action_treeList&amp;rule=170&amp;public_id=1</t>
  </si>
  <si>
    <t>GD101</t>
  </si>
  <si>
    <t>エプソングループ物理セキュリティー規程</t>
  </si>
  <si>
    <t>https://www4.kitei-kanri.jp/gf7/seikoepson/browse.php?action_treeList&amp;rule=171&amp;public_id=1</t>
  </si>
  <si>
    <t>JD101-01</t>
  </si>
  <si>
    <t>エプソングループ物理セキュリティー管理基準</t>
  </si>
  <si>
    <t>https://www4.kitei-kanri.jp/gf7/seikoepson/browse.php?action_treeList&amp;rule=511&amp;public_id=1</t>
  </si>
  <si>
    <t>JD102</t>
  </si>
  <si>
    <t>エプソングループIDカード管理規程</t>
  </si>
  <si>
    <t>https://www4.kitei-kanri.jp/gf7/seikoepson/browse.php?action_treeList&amp;rule=512&amp;public_id=1</t>
  </si>
  <si>
    <t>JD102-01</t>
  </si>
  <si>
    <t>エプソングループIDカード運用基準</t>
  </si>
  <si>
    <t>https://www4.kitei-kanri.jp/gf7/seikoepson/browse.php?action_treeList&amp;rule=513&amp;public_id=1</t>
  </si>
  <si>
    <t>GD103</t>
  </si>
  <si>
    <t>エプソングループ接待・儀礼規程</t>
  </si>
  <si>
    <t>https://www4.kitei-kanri.jp/gf7/seikoepson/browse.php?action_treeList&amp;rule=172&amp;public_id=1</t>
  </si>
  <si>
    <t>JD111</t>
  </si>
  <si>
    <t>エプソングループ社有車管理規程</t>
  </si>
  <si>
    <t>https://www4.kitei-kanri.jp/gf7/seikoepson/browse.php?action_treeList&amp;rule=514&amp;public_id=1</t>
  </si>
  <si>
    <t>GD112</t>
  </si>
  <si>
    <t>エプソングループ外部団体加入管理規程</t>
  </si>
  <si>
    <t>https://www4.kitei-kanri.jp/gf7/seikoepson/browse.php?action_treeList&amp;rule=488&amp;public_id=1</t>
  </si>
  <si>
    <t>JD112-01</t>
  </si>
  <si>
    <t>エプソングループ外部団体加入審議会運用基準</t>
  </si>
  <si>
    <t>https://www4.kitei-kanri.jp/gf7/seikoepson/browse.php?action_treeList&amp;rule=515&amp;public_id=1</t>
  </si>
  <si>
    <t>JD121</t>
  </si>
  <si>
    <t>エプソングループ文書管理規程</t>
  </si>
  <si>
    <t>https://www4.kitei-kanri.jp/gf7/seikoepson/browse.php?action_treeList&amp;rule=516&amp;public_id=1</t>
  </si>
  <si>
    <t>JD121-02</t>
  </si>
  <si>
    <t>エプソングループ電子文書管理基準</t>
  </si>
  <si>
    <t>https://www4.kitei-kanri.jp/gf7/seikoepson/browse.php?action_treeList&amp;rule=517&amp;public_id=1</t>
  </si>
  <si>
    <t>GD122</t>
  </si>
  <si>
    <t>エプソングループ通達等管理規程</t>
  </si>
  <si>
    <t>https://www4.kitei-kanri.jp/gf7/seikoepson/browse.php?action_treeList&amp;rule=262&amp;public_id=1</t>
  </si>
  <si>
    <t>JD123</t>
  </si>
  <si>
    <t>エプソングループ届出書管理規程</t>
  </si>
  <si>
    <t>https://www4.kitei-kanri.jp/gf7/seikoepson/browse.php?action_treeList&amp;rule=140&amp;public_id=1</t>
  </si>
  <si>
    <t>JD131</t>
  </si>
  <si>
    <t>エプソングループ印章管理規程</t>
  </si>
  <si>
    <t>https://www4.kitei-kanri.jp/gf7/seikoepson/browse.php?action_treeList&amp;rule=141&amp;public_id=1</t>
  </si>
  <si>
    <t>GD132</t>
  </si>
  <si>
    <t>エプソングループ契約書管理規程</t>
  </si>
  <si>
    <t>https://www4.kitei-kanri.jp/gf7/seikoepson/browse.php?action_treeList&amp;rule=490&amp;public_id=1</t>
  </si>
  <si>
    <t>GD133</t>
  </si>
  <si>
    <t>エプソングループ競争法遵守規程</t>
  </si>
  <si>
    <t>https://www4.kitei-kanri.jp/gf7/seikoepson/browse.php?action_treeList&amp;rule=261&amp;public_id=1</t>
  </si>
  <si>
    <t>GD134</t>
  </si>
  <si>
    <t>エプソングループ贈賄防止規程</t>
  </si>
  <si>
    <t>https://www4.kitei-kanri.jp/gf7/seikoepson/browse.php?action_treeList&amp;rule=131&amp;public_id=1</t>
  </si>
  <si>
    <t>GD135</t>
  </si>
  <si>
    <t>エプソングループ内部者取引管理規程</t>
  </si>
  <si>
    <t>https://www4.kitei-kanri.jp/gf7/seikoepson/browse.php?action_treeList&amp;rule=371&amp;public_id=1</t>
  </si>
  <si>
    <t>GD136</t>
  </si>
  <si>
    <t>エプソングループ訴訟管理規程</t>
  </si>
  <si>
    <t>https://www4.kitei-kanri.jp/gf7/seikoepson/browse.php?action_treeList&amp;rule=785&amp;public_id=1</t>
  </si>
  <si>
    <t>GD141</t>
  </si>
  <si>
    <t>https://www4.kitei-kanri.jp/gf7/seikoepson/browse.php?action_treeList&amp;rule=132&amp;public_id=1</t>
  </si>
  <si>
    <t>GD151</t>
  </si>
  <si>
    <t>エプソングループ資産管理規程</t>
  </si>
  <si>
    <t>https://www4.kitei-kanri.jp/gf7/seikoepson/browse.php?action_treeList&amp;rule=743&amp;public_id=1</t>
  </si>
  <si>
    <t>GD151-01</t>
  </si>
  <si>
    <t>エプソングループ管理資産管理基準</t>
  </si>
  <si>
    <t>https://www4.kitei-kanri.jp/gf7/seikoepson/browse.php?action_treeList&amp;rule=744&amp;public_id=1</t>
  </si>
  <si>
    <t>GD152</t>
  </si>
  <si>
    <t>エプソングループ損害保険管理規程</t>
  </si>
  <si>
    <t>https://www4.kitei-kanri.jp/gf7/seikoepson/browse.php?action_treeList&amp;rule=173&amp;public_id=1</t>
  </si>
  <si>
    <t>GD153</t>
  </si>
  <si>
    <t>エプソングループ不動産管理運用規程</t>
  </si>
  <si>
    <t>https://www4.kitei-kanri.jp/gf7/seikoepson/browse.php?action_treeList&amp;rule=174&amp;public_id=1</t>
  </si>
  <si>
    <t>JD154</t>
  </si>
  <si>
    <t>エプソングループリース・レンタル資産管理運用規程</t>
  </si>
  <si>
    <t>https://www4.kitei-kanri.jp/gf7/seikoepson/browse.php?action_treeList&amp;rule=518&amp;public_id=1</t>
  </si>
  <si>
    <t>GD161</t>
  </si>
  <si>
    <t>エプソングループ施設管理規程</t>
  </si>
  <si>
    <t>https://www4.kitei-kanri.jp/gf7/seikoepson/browse.php?action_treeList&amp;rule=175&amp;public_id=1</t>
  </si>
  <si>
    <t>GD201</t>
  </si>
  <si>
    <t>エプソングループ労働安全衛生基本規程</t>
  </si>
  <si>
    <t>https://www4.kitei-kanri.jp/gf7/seikoepson/browse.php?action_treeList&amp;rule=544&amp;public_id=1</t>
  </si>
  <si>
    <t>GD202</t>
  </si>
  <si>
    <t>エプソングループ労働安全衛生管理規程</t>
  </si>
  <si>
    <t>https://www4.kitei-kanri.jp/gf7/seikoepson/browse.php?action_treeList&amp;rule=542&amp;public_id=1</t>
  </si>
  <si>
    <t>GD202-01</t>
  </si>
  <si>
    <t>エプソングループ労働安全衛生活動基準</t>
  </si>
  <si>
    <t>https://www4.kitei-kanri.jp/gf7/seikoepson/browse.php?action_treeList&amp;rule=538&amp;public_id=1</t>
  </si>
  <si>
    <t>GD202-02</t>
  </si>
  <si>
    <t>エプソングループ労働安全衛生に関するリスクアセスメント基準</t>
  </si>
  <si>
    <t>https://www4.kitei-kanri.jp/gf7/seikoepson/browse.php?action_treeList&amp;rule=540&amp;public_id=1</t>
  </si>
  <si>
    <t>GD202-03</t>
  </si>
  <si>
    <t>エプソングループ労働安全衛生活動評価基準</t>
  </si>
  <si>
    <t>https://www4.kitei-kanri.jp/gf7/seikoepson/browse.php?action_treeList&amp;rule=177&amp;public_id=1</t>
  </si>
  <si>
    <t>GD202-04</t>
  </si>
  <si>
    <t>エプソングループ労働安全衛生教育基準</t>
  </si>
  <si>
    <t>https://www4.kitei-kanri.jp/gf7/seikoepson/browse.php?action_treeList&amp;rule=541&amp;public_id=1</t>
  </si>
  <si>
    <t>JD202-05</t>
  </si>
  <si>
    <t>エプソングループ労働安全衛生会議基準</t>
  </si>
  <si>
    <t>https://www4.kitei-kanri.jp/gf7/seikoepson/browse.php?action_treeList&amp;rule=150&amp;public_id=1</t>
  </si>
  <si>
    <t>JD202-06</t>
  </si>
  <si>
    <t>エプソングループ構内請負会社労働安全衛生管理基準</t>
  </si>
  <si>
    <t>https://www4.kitei-kanri.jp/gf7/seikoepson/browse.php?action_treeList&amp;rule=548&amp;public_id=1</t>
  </si>
  <si>
    <t>GD211</t>
  </si>
  <si>
    <t>エプソングループ機械等安全管理規程</t>
  </si>
  <si>
    <t>https://www4.kitei-kanri.jp/gf7/seikoepson/browse.php?action_treeList&amp;rule=547&amp;public_id=1</t>
  </si>
  <si>
    <t>GD211-01</t>
  </si>
  <si>
    <t>エプソングループ機械等安全審査基準</t>
  </si>
  <si>
    <t>https://www4.kitei-kanri.jp/gf7/seikoepson/browse.php?action_treeList&amp;rule=545&amp;public_id=1</t>
  </si>
  <si>
    <t>GD211-02</t>
  </si>
  <si>
    <t>エプソングループ機械等の無人稼動取扱基準</t>
  </si>
  <si>
    <t>https://www4.kitei-kanri.jp/gf7/seikoepson/browse.php?action_treeList&amp;rule=546&amp;public_id=1</t>
  </si>
  <si>
    <t>GD221</t>
  </si>
  <si>
    <t>エプソングループ建物・設備等安全管理規程</t>
  </si>
  <si>
    <t>https://www4.kitei-kanri.jp/gf7/seikoepson/browse.php?action_treeList&amp;rule=361&amp;public_id=1</t>
  </si>
  <si>
    <t>GD221-01</t>
  </si>
  <si>
    <t>エプソングループ高圧ガス等設備管理基準</t>
  </si>
  <si>
    <t>https://www4.kitei-kanri.jp/gf7/seikoepson/browse.php?action_treeList&amp;rule=362&amp;public_id=1</t>
  </si>
  <si>
    <t>GD221-02</t>
  </si>
  <si>
    <t>エプソングループ建物防火・防災設備基準</t>
  </si>
  <si>
    <t>https://www4.kitei-kanri.jp/gf7/seikoepson/browse.php?action_treeList&amp;rule=363&amp;public_id=1</t>
  </si>
  <si>
    <t>GD221-03</t>
  </si>
  <si>
    <t>エプソングループ建物・設備等安全審査基準</t>
  </si>
  <si>
    <t>https://www4.kitei-kanri.jp/gf7/seikoepson/browse.php?action_treeList&amp;rule=364&amp;public_id=1</t>
  </si>
  <si>
    <t>GD231</t>
  </si>
  <si>
    <t>エプソングループ電気安全管理規程</t>
  </si>
  <si>
    <t>https://www4.kitei-kanri.jp/gf7/seikoepson/browse.php?action_treeList&amp;rule=365&amp;public_id=1</t>
  </si>
  <si>
    <t>GD231-01</t>
  </si>
  <si>
    <t>エプソングループ電装技術員運用基準</t>
  </si>
  <si>
    <t>https://www4.kitei-kanri.jp/gf7/seikoepson/browse.php?action_treeList&amp;rule=366&amp;public_id=1</t>
  </si>
  <si>
    <t>GD241</t>
  </si>
  <si>
    <t>エプソングループ環境活動管理規程</t>
  </si>
  <si>
    <t>https://www4.kitei-kanri.jp/gf7/seikoepson/browse.php?action_treeList&amp;rule=185&amp;public_id=1</t>
  </si>
  <si>
    <t>GD241-01</t>
  </si>
  <si>
    <t>エプソングループ製品含有化学物質管理基準</t>
  </si>
  <si>
    <t>https://www4.kitei-kanri.jp/gf7/seikoepson/browse.php?action_treeList&amp;rule=492&amp;public_id=1</t>
  </si>
  <si>
    <t>GD242</t>
  </si>
  <si>
    <t>エプソングループ環境データ管理規程</t>
  </si>
  <si>
    <t>https://www4.kitei-kanri.jp/gf7/seikoepson/browse.php?action_treeList&amp;rule=186&amp;public_id=1</t>
  </si>
  <si>
    <t>GD242-01</t>
  </si>
  <si>
    <t>エプソングループ環境データ収集基準</t>
  </si>
  <si>
    <t>https://www4.kitei-kanri.jp/gf7/seikoepson/browse.php?action_treeList&amp;rule=187&amp;public_id=1</t>
  </si>
  <si>
    <t>GD242-02</t>
  </si>
  <si>
    <t>エプソングループ環境データ算定基準</t>
  </si>
  <si>
    <t>https://www4.kitei-kanri.jp/gf7/seikoepson/browse.php?action_treeList&amp;rule=266&amp;public_id=1</t>
  </si>
  <si>
    <t>GD251</t>
  </si>
  <si>
    <t>エプソングループ排出物管理規程</t>
  </si>
  <si>
    <t>https://www4.kitei-kanri.jp/gf7/seikoepson/browse.php?action_treeList&amp;rule=367&amp;public_id=1</t>
  </si>
  <si>
    <t>JD251-01</t>
  </si>
  <si>
    <t>エプソングループ排出物管理基準</t>
  </si>
  <si>
    <t>https://www4.kitei-kanri.jp/gf7/seikoepson/browse.php?action_treeList&amp;rule=149&amp;public_id=1</t>
  </si>
  <si>
    <t>GD251-02</t>
  </si>
  <si>
    <t>エプソングループゼロエミッション活動基準</t>
  </si>
  <si>
    <t>https://www4.kitei-kanri.jp/gf7/seikoepson/browse.php?action_treeList&amp;rule=368&amp;public_id=1</t>
  </si>
  <si>
    <t>GD252</t>
  </si>
  <si>
    <t>エプソングループ公害防止管理規程</t>
  </si>
  <si>
    <t>https://www4.kitei-kanri.jp/gf7/seikoepson/browse.php?action_treeList&amp;rule=369&amp;public_id=1</t>
  </si>
  <si>
    <t>GD252-01</t>
  </si>
  <si>
    <t>エプソングループ公害防止管理運用基準</t>
  </si>
  <si>
    <t>https://www4.kitei-kanri.jp/gf7/seikoepson/browse.php?action_treeList&amp;rule=370&amp;public_id=1</t>
  </si>
  <si>
    <t>JD261</t>
  </si>
  <si>
    <t>エプソングループ健康管理規程</t>
  </si>
  <si>
    <t>https://www4.kitei-kanri.jp/gf7/seikoepson/browse.php?action_treeList&amp;rule=152&amp;public_id=1</t>
  </si>
  <si>
    <t>JD261-01</t>
  </si>
  <si>
    <t>エプソングループ健康診断基準</t>
  </si>
  <si>
    <t>https://www4.kitei-kanri.jp/gf7/seikoepson/browse.php?action_treeList&amp;rule=153&amp;public_id=1</t>
  </si>
  <si>
    <t>JD261-02</t>
  </si>
  <si>
    <t>エプソングループストレスチェック実施基準</t>
  </si>
  <si>
    <t>https://www4.kitei-kanri.jp/gf7/seikoepson/browse.php?action_treeList&amp;rule=154&amp;public_id=1</t>
  </si>
  <si>
    <t>JD261-03</t>
  </si>
  <si>
    <t>エプソングループ海外赴任者の健康管理基準</t>
  </si>
  <si>
    <t>https://www4.kitei-kanri.jp/gf7/seikoepson/browse.php?action_treeList&amp;rule=654&amp;public_id=1</t>
  </si>
  <si>
    <t>JD261-04</t>
  </si>
  <si>
    <t>エプソングループ渡航制限措置運用基準</t>
  </si>
  <si>
    <t>https://www4.kitei-kanri.jp/gf7/seikoepson/browse.php?action_treeList&amp;rule=156&amp;public_id=1</t>
  </si>
  <si>
    <t>GD271</t>
  </si>
  <si>
    <t>エプソングループ危険有害物質安全衛生管理規程</t>
  </si>
  <si>
    <t>https://www4.kitei-kanri.jp/gf7/seikoepson/browse.php?action_treeList&amp;rule=188&amp;public_id=1</t>
  </si>
  <si>
    <t>GD271-01</t>
  </si>
  <si>
    <t>エプソングループ危険有害物質安全審査基準</t>
  </si>
  <si>
    <t>https://www4.kitei-kanri.jp/gf7/seikoepson/browse.php?action_treeList&amp;rule=543&amp;public_id=1</t>
  </si>
  <si>
    <t>GD281</t>
  </si>
  <si>
    <t>エプソングループ防災規程</t>
  </si>
  <si>
    <t>https://www4.kitei-kanri.jp/gf7/seikoepson/browse.php?action_treeList&amp;rule=191&amp;public_id=1</t>
  </si>
  <si>
    <t>JD281-01</t>
  </si>
  <si>
    <t>エプソングループ防災本部設置基準</t>
  </si>
  <si>
    <t>https://www4.kitei-kanri.jp/gf7/seikoepson/browse.php?action_treeList&amp;rule=519&amp;public_id=1</t>
  </si>
  <si>
    <t>JD281-03</t>
  </si>
  <si>
    <t>エプソングループ防災管理基準</t>
  </si>
  <si>
    <t>https://www4.kitei-kanri.jp/gf7/seikoepson/browse.php?action_treeList&amp;rule=520&amp;public_id=1</t>
  </si>
  <si>
    <t>JD281-04</t>
  </si>
  <si>
    <t>エプソングループ自衛消防団運営基準</t>
  </si>
  <si>
    <t>https://www4.kitei-kanri.jp/gf7/seikoepson/browse.php?action_treeList&amp;rule=521&amp;public_id=1</t>
  </si>
  <si>
    <t>GD301</t>
  </si>
  <si>
    <t>エプソングループ経理基本規程</t>
  </si>
  <si>
    <t>https://www4.kitei-kanri.jp/gf7/seikoepson/browse.php?action_treeList&amp;rule=192&amp;public_id=1</t>
  </si>
  <si>
    <t>GD301-01</t>
  </si>
  <si>
    <t>エプソングループ会計基準</t>
  </si>
  <si>
    <t>https://www4.kitei-kanri.jp/gf7/seikoepson/browse.php?action_treeList&amp;rule=193&amp;public_id=1</t>
  </si>
  <si>
    <t>GD301-02</t>
  </si>
  <si>
    <t>エプソングループ・グループ内債権債務管理基準</t>
  </si>
  <si>
    <t>https://www4.kitei-kanri.jp/gf7/seikoepson/browse.php?action_treeList&amp;rule=194&amp;public_id=1</t>
  </si>
  <si>
    <t>JD311</t>
  </si>
  <si>
    <t>エプソングループ決算会計規程</t>
  </si>
  <si>
    <t>https://www4.kitei-kanri.jp/gf7/seikoepson/browse.php?action_treeList&amp;rule=157&amp;public_id=1</t>
  </si>
  <si>
    <t>JD312</t>
  </si>
  <si>
    <t>エプソングループ会計情報システム運用規程</t>
  </si>
  <si>
    <t>https://www4.kitei-kanri.jp/gf7/seikoepson/browse.php?action_treeList&amp;rule=158&amp;public_id=1</t>
  </si>
  <si>
    <t>JD313</t>
  </si>
  <si>
    <t>エプソングループ原価計算規程</t>
  </si>
  <si>
    <t>https://www4.kitei-kanri.jp/gf7/seikoepson/browse.php?action_treeList&amp;rule=159&amp;public_id=1</t>
  </si>
  <si>
    <t>JD314</t>
  </si>
  <si>
    <t>エプソングループ棚卸資産会計規程</t>
  </si>
  <si>
    <t>https://www4.kitei-kanri.jp/gf7/seikoepson/browse.php?action_treeList&amp;rule=160&amp;public_id=1</t>
  </si>
  <si>
    <t>JD315</t>
  </si>
  <si>
    <t>エプソングループ有形固定資産および無形資産会計規程</t>
  </si>
  <si>
    <t>https://www4.kitei-kanri.jp/gf7/seikoepson/browse.php?action_treeList&amp;rule=161&amp;public_id=1</t>
  </si>
  <si>
    <t>JD316</t>
  </si>
  <si>
    <t>エプソングループ金銭債権・金銭債務管理会計規程</t>
  </si>
  <si>
    <t>https://www4.kitei-kanri.jp/gf7/seikoepson/browse.php?action_treeList&amp;rule=162&amp;public_id=1</t>
  </si>
  <si>
    <t>GD321</t>
  </si>
  <si>
    <t>エプソングループ税務会計規程</t>
  </si>
  <si>
    <t>https://www4.kitei-kanri.jp/gf7/seikoepson/browse.php?action_treeList&amp;rule=195&amp;public_id=1</t>
  </si>
  <si>
    <t>JD321-01</t>
  </si>
  <si>
    <t>エプソングループ褒賞金および補助金等への源泉徴収課税実施基準</t>
  </si>
  <si>
    <t>https://www4.kitei-kanri.jp/gf7/seikoepson/browse.php?action_treeList&amp;rule=189&amp;public_id=1</t>
  </si>
  <si>
    <t>GD321-02-C</t>
  </si>
  <si>
    <t>エプソングループ広告宣伝費・販売促進費負担基準</t>
  </si>
  <si>
    <t>https://www4.kitei-kanri.jp/gf7/seikoepson/browse.php?action_treeList&amp;rule=196&amp;public_id=1</t>
  </si>
  <si>
    <t>GD321-03-C</t>
  </si>
  <si>
    <t>エプソングループ役務提供に係る費用負担基準</t>
  </si>
  <si>
    <t>https://www4.kitei-kanri.jp/gf7/seikoepson/browse.php?action_treeList&amp;rule=197&amp;public_id=1</t>
  </si>
  <si>
    <t>GD321-04-C</t>
  </si>
  <si>
    <t>エプソングループ機械等設備の取引価格設定基準</t>
  </si>
  <si>
    <t>https://www4.kitei-kanri.jp/gf7/seikoepson/browse.php?action_treeList&amp;rule=198&amp;public_id=1</t>
  </si>
  <si>
    <t>JD321-05</t>
  </si>
  <si>
    <t>エプソングループ税務監査実施基準</t>
  </si>
  <si>
    <t>https://www4.kitei-kanri.jp/gf7/seikoepson/browse.php?action_treeList&amp;rule=379&amp;public_id=1</t>
  </si>
  <si>
    <t>JD321-06</t>
  </si>
  <si>
    <t>エプソングループ電子帳簿保存法による帳簿書類の電子保存基準</t>
  </si>
  <si>
    <t>https://www4.kitei-kanri.jp/gf7/seikoepson/browse.php?action_treeList&amp;rule=201&amp;public_id=1</t>
  </si>
  <si>
    <t>GD331</t>
  </si>
  <si>
    <t>エプソングループ金銭会計規程</t>
  </si>
  <si>
    <t>https://www4.kitei-kanri.jp/gf7/seikoepson/browse.php?action_treeList&amp;rule=199&amp;public_id=1</t>
  </si>
  <si>
    <t>GD332</t>
  </si>
  <si>
    <t>エプソングループ資金管理規程</t>
  </si>
  <si>
    <t>https://www4.kitei-kanri.jp/gf7/seikoepson/browse.php?action_treeList&amp;rule=200&amp;public_id=1</t>
  </si>
  <si>
    <t>GD332-01</t>
  </si>
  <si>
    <t>エプソングループ資金管理基準</t>
  </si>
  <si>
    <t>https://www4.kitei-kanri.jp/gf7/seikoepson/browse.php?action_treeList&amp;rule=494&amp;public_id=1</t>
  </si>
  <si>
    <t>GD332-02</t>
  </si>
  <si>
    <t>エプソングループ支払条件設定基準</t>
  </si>
  <si>
    <t>https://www4.kitei-kanri.jp/gf7/seikoepson/browse.php?action_treeList&amp;rule=495&amp;public_id=1</t>
  </si>
  <si>
    <t>GD333</t>
  </si>
  <si>
    <t>エプソングループ為替管理規程</t>
  </si>
  <si>
    <t>https://www4.kitei-kanri.jp/gf7/seikoepson/browse.php?action_treeList&amp;rule=496&amp;public_id=1</t>
  </si>
  <si>
    <t>GD341</t>
  </si>
  <si>
    <t>エプソングループ予算管理・管理会計規程</t>
  </si>
  <si>
    <t>https://www4.kitei-kanri.jp/gf7/seikoepson/browse.php?action_treeList&amp;rule=497&amp;public_id=1</t>
  </si>
  <si>
    <t>GD341-02-C</t>
  </si>
  <si>
    <t>エプソングループ・グループ内取引基準</t>
  </si>
  <si>
    <t>https://www4.kitei-kanri.jp/gf7/seikoepson/browse.php?action_treeList&amp;rule=549&amp;public_id=1</t>
  </si>
  <si>
    <t>GD341-03-C</t>
  </si>
  <si>
    <t>エプソングループ・グループ内資本政策基準</t>
  </si>
  <si>
    <t>https://www4.kitei-kanri.jp/gf7/seikoepson/browse.php?action_treeList&amp;rule=498&amp;public_id=1</t>
  </si>
  <si>
    <t>GD341-04</t>
  </si>
  <si>
    <t>エプソングループ管理会計基準</t>
  </si>
  <si>
    <t>https://www4.kitei-kanri.jp/gf7/seikoepson/browse.php?action_treeList&amp;rule=500&amp;public_id=1</t>
  </si>
  <si>
    <t>GD411</t>
  </si>
  <si>
    <t>エプソングループ知的財産権管理規程</t>
  </si>
  <si>
    <t>https://www4.kitei-kanri.jp/gf7/seikoepson/browse.php?action_treeList&amp;rule=501&amp;public_id=1</t>
  </si>
  <si>
    <t>JD411-01</t>
  </si>
  <si>
    <t>エプソングループ特許意匠報奨基準</t>
  </si>
  <si>
    <t>https://www4.kitei-kanri.jp/gf7/seikoepson/browse.php?action_treeList&amp;rule=202&amp;public_id=1</t>
  </si>
  <si>
    <t>JD411-02</t>
  </si>
  <si>
    <t>エプソングループ特許意匠出願報奨運用基準</t>
  </si>
  <si>
    <t>https://www4.kitei-kanri.jp/gf7/seikoepson/browse.php?action_treeList&amp;rule=203&amp;public_id=1</t>
  </si>
  <si>
    <t>JD411-03</t>
  </si>
  <si>
    <t>エプソングループ特許意匠登録報奨運用基準</t>
  </si>
  <si>
    <t>https://www4.kitei-kanri.jp/gf7/seikoepson/browse.php?action_treeList&amp;rule=204&amp;public_id=1</t>
  </si>
  <si>
    <t>JD411-04</t>
  </si>
  <si>
    <t>エプソングループ特許意匠ライセンス実績報奨運用基準</t>
  </si>
  <si>
    <t>https://www4.kitei-kanri.jp/gf7/seikoepson/browse.php?action_treeList&amp;rule=205&amp;public_id=1</t>
  </si>
  <si>
    <t>JD411-05</t>
  </si>
  <si>
    <t>エプソングループ秘匿管理発明報奨運用基準</t>
  </si>
  <si>
    <t>https://www4.kitei-kanri.jp/gf7/seikoepson/browse.php?action_treeList&amp;rule=206&amp;public_id=1</t>
  </si>
  <si>
    <t>JD411-06</t>
  </si>
  <si>
    <t>エプソングループ特許意匠自社実施報奨運用基準</t>
  </si>
  <si>
    <t>https://www4.kitei-kanri.jp/gf7/seikoepson/browse.php?action_treeList&amp;rule=207&amp;public_id=1</t>
  </si>
  <si>
    <t>JD411-07</t>
  </si>
  <si>
    <t>エプソングループBP認定貢献報奨運用基準</t>
  </si>
  <si>
    <t>https://www4.kitei-kanri.jp/gf7/seikoepson/browse.php?action_treeList&amp;rule=208&amp;public_id=1</t>
  </si>
  <si>
    <t>JD411-08</t>
  </si>
  <si>
    <t>エプソングループ社外発明意匠表彰受賞に対する特別表彰運用基準</t>
  </si>
  <si>
    <t>https://www4.kitei-kanri.jp/gf7/seikoepson/browse.php?action_treeList&amp;rule=209&amp;public_id=1</t>
  </si>
  <si>
    <t>JD411-09</t>
  </si>
  <si>
    <t>エプソングループ特許意匠事業貢献特別報奨運用基準</t>
  </si>
  <si>
    <t>https://www4.kitei-kanri.jp/gf7/seikoepson/browse.php?action_treeList&amp;rule=210&amp;public_id=1</t>
  </si>
  <si>
    <t>JD411-10</t>
  </si>
  <si>
    <t>エプソングループチャレンジIP活動表彰運用基準</t>
  </si>
  <si>
    <t>https://www4.kitei-kanri.jp/gf7/seikoepson/browse.php?action_treeList&amp;rule=211&amp;public_id=1</t>
  </si>
  <si>
    <t>GD421</t>
  </si>
  <si>
    <t>エプソングループブランド規程</t>
  </si>
  <si>
    <t>https://www4.kitei-kanri.jp/gf7/seikoepson/browse.php?action_treeList&amp;rule=502&amp;public_id=1</t>
  </si>
  <si>
    <t>GD422</t>
  </si>
  <si>
    <t>エプソングループ名称管理規程</t>
  </si>
  <si>
    <t>https://www4.kitei-kanri.jp/gf7/seikoepson/browse.php?action_treeList&amp;rule=503&amp;public_id=1</t>
  </si>
  <si>
    <t>GD431</t>
  </si>
  <si>
    <t>エプソングループ商標管理規程</t>
  </si>
  <si>
    <t>https://www4.kitei-kanri.jp/gf7/seikoepson/browse.php?action_treeList&amp;rule=504&amp;public_id=1</t>
  </si>
  <si>
    <t>GD431-01</t>
  </si>
  <si>
    <t>エプソングループ商標管理基準</t>
  </si>
  <si>
    <t>https://www4.kitei-kanri.jp/gf7/seikoepson/browse.php?action_treeList&amp;rule=505&amp;public_id=1</t>
  </si>
  <si>
    <t>GD432</t>
  </si>
  <si>
    <t>エプソングループドメインネーム管理規程</t>
  </si>
  <si>
    <t>https://www4.kitei-kanri.jp/gf7/seikoepson/browse.php?action_treeList&amp;rule=506&amp;public_id=1</t>
  </si>
  <si>
    <t>GD501</t>
  </si>
  <si>
    <t>エプソングループ販売管理規程</t>
  </si>
  <si>
    <t>https://www4.kitei-kanri.jp/gf7/seikoepson/browse.php?action_treeList&amp;rule=507&amp;public_id=1</t>
  </si>
  <si>
    <t>GD502</t>
  </si>
  <si>
    <t>エプソングループ招待規程</t>
  </si>
  <si>
    <t>https://www4.kitei-kanri.jp/gf7/seikoepson/browse.php?action_treeList&amp;rule=212&amp;public_id=1</t>
  </si>
  <si>
    <t>GD511</t>
  </si>
  <si>
    <t>エプソングループ債権管理規程</t>
  </si>
  <si>
    <t>https://www4.kitei-kanri.jp/gf7/seikoepson/browse.php?action_treeList&amp;rule=508&amp;public_id=1</t>
  </si>
  <si>
    <t>GD611-C</t>
  </si>
  <si>
    <t>エプソングループ技能認定競技会規程</t>
  </si>
  <si>
    <t>https://www4.kitei-kanri.jp/gf7/seikoepson/browse.php?action_treeList&amp;rule=213&amp;public_id=1</t>
  </si>
  <si>
    <t>GD621</t>
  </si>
  <si>
    <t>エプソングループE-KAIZEN活動規程</t>
  </si>
  <si>
    <t>https://www4.kitei-kanri.jp/gf7/seikoepson/browse.php?action_treeList&amp;rule=214&amp;public_id=1</t>
  </si>
  <si>
    <t>GD621-01</t>
  </si>
  <si>
    <t>エプソングループE-KAIZEN活動基準</t>
  </si>
  <si>
    <t>https://www4.kitei-kanri.jp/gf7/seikoepson/browse.php?action_treeList&amp;rule=215&amp;public_id=1</t>
  </si>
  <si>
    <t>GD622</t>
  </si>
  <si>
    <t>エプソングループ品質保証規程</t>
  </si>
  <si>
    <t>https://www4.kitei-kanri.jp/gf7/seikoepson/browse.php?action_treeList&amp;rule=216&amp;public_id=1</t>
  </si>
  <si>
    <t>JD622-01</t>
  </si>
  <si>
    <t>エプソングループ品質管理教育基準</t>
  </si>
  <si>
    <t>https://www4.kitei-kanri.jp/gf7/seikoepson/browse.php?action_treeList&amp;rule=227&amp;public_id=1</t>
  </si>
  <si>
    <t>GD622-02-C</t>
  </si>
  <si>
    <t>エプソングループEPSON QUALITY STANDARD管理基準</t>
  </si>
  <si>
    <t>https://www4.kitei-kanri.jp/gf7/seikoepson/browse.php?action_treeList&amp;rule=217&amp;public_id=1</t>
  </si>
  <si>
    <t>JD622-04</t>
  </si>
  <si>
    <t>エプソングループQFコスト把握基準</t>
  </si>
  <si>
    <t>https://www4.kitei-kanri.jp/gf7/seikoepson/browse.php?action_treeList&amp;rule=228&amp;public_id=1</t>
  </si>
  <si>
    <t>JD622-06</t>
  </si>
  <si>
    <t>エプソングループ品質マネジメントシステム運用基準</t>
  </si>
  <si>
    <t>https://www4.kitei-kanri.jp/gf7/seikoepson/browse.php?action_treeList&amp;rule=229&amp;public_id=1</t>
  </si>
  <si>
    <t>JD622-07</t>
  </si>
  <si>
    <t>エプソングループ内部品質監査基準</t>
  </si>
  <si>
    <t>https://www4.kitei-kanri.jp/gf7/seikoepson/browse.php?action_treeList&amp;rule=230&amp;public_id=1</t>
  </si>
  <si>
    <t>JD622-08</t>
  </si>
  <si>
    <t>エプソングループISO9001内部品質監査者認定制度運用基準</t>
  </si>
  <si>
    <t>https://www4.kitei-kanri.jp/gf7/seikoepson/browse.php?action_treeList&amp;rule=231&amp;public_id=1</t>
  </si>
  <si>
    <t>GD623</t>
  </si>
  <si>
    <t>エプソングループ製品安全性管理規程</t>
  </si>
  <si>
    <t>https://www4.kitei-kanri.jp/gf7/seikoepson/browse.php?action_treeList&amp;rule=218&amp;public_id=1</t>
  </si>
  <si>
    <t>GD623-01</t>
  </si>
  <si>
    <t>エプソングループ製品安全性保証基準</t>
  </si>
  <si>
    <t>https://www4.kitei-kanri.jp/gf7/seikoepson/browse.php?action_treeList&amp;rule=219&amp;public_id=1</t>
  </si>
  <si>
    <t>GD623-02</t>
  </si>
  <si>
    <t>エプソングループ製品EMC管理基準</t>
  </si>
  <si>
    <t>https://www4.kitei-kanri.jp/gf7/seikoepson/browse.php?action_treeList&amp;rule=220&amp;public_id=1</t>
  </si>
  <si>
    <t>GD623-03</t>
  </si>
  <si>
    <t>エプソングループ販売機能を有する会社の独自調達品に関する運用基準</t>
  </si>
  <si>
    <t>https://www4.kitei-kanri.jp/gf7/seikoepson/browse.php?action_treeList&amp;rule=770&amp;public_id=1</t>
  </si>
  <si>
    <t>GD623-04-C</t>
  </si>
  <si>
    <t>エプソングループEMC測定技術者認定制度基準</t>
  </si>
  <si>
    <t>https://www4.kitei-kanri.jp/gf7/seikoepson/browse.php?action_treeList&amp;rule=222&amp;public_id=1</t>
  </si>
  <si>
    <t>GD623-05</t>
  </si>
  <si>
    <t>エプソングループ製品品質に関わる法規制情報の収集運用基準</t>
  </si>
  <si>
    <t>https://www4.kitei-kanri.jp/gf7/seikoepson/browse.php?action_treeList&amp;rule=223&amp;public_id=1</t>
  </si>
  <si>
    <t>GD623-06</t>
  </si>
  <si>
    <t>エプソングループ販売機能を有する会社による製品品質に関わる法規制適合品販売基準</t>
  </si>
  <si>
    <t>https://www4.kitei-kanri.jp/gf7/seikoepson/browse.php?action_treeList&amp;rule=224&amp;public_id=1</t>
  </si>
  <si>
    <t>GD623-07</t>
  </si>
  <si>
    <t>エプソングループ化学製品管理基準</t>
  </si>
  <si>
    <t>https://www4.kitei-kanri.jp/gf7/seikoepson/browse.php?action_treeList&amp;rule=225&amp;public_id=1</t>
  </si>
  <si>
    <t>GD624</t>
  </si>
  <si>
    <t>エプソングループ品質問題管理規程</t>
  </si>
  <si>
    <t>https://www4.kitei-kanri.jp/gf7/seikoepson/browse.php?action_treeList&amp;rule=260&amp;public_id=1</t>
  </si>
  <si>
    <t>GD624-01</t>
  </si>
  <si>
    <t>エプソングループ重大品質事故・重要品質問題処理基準</t>
  </si>
  <si>
    <t>https://www4.kitei-kanri.jp/gf7/seikoepson/browse.php?action_treeList&amp;rule=237&amp;public_id=1</t>
  </si>
  <si>
    <t>GD624-02</t>
  </si>
  <si>
    <t>エプソングループQCMシステム基準</t>
  </si>
  <si>
    <t>https://www4.kitei-kanri.jp/gf7/seikoepson/browse.php?action_treeList&amp;rule=238&amp;public_id=1</t>
  </si>
  <si>
    <t>GD624-03</t>
  </si>
  <si>
    <t>エプソングループ製品瑕疵による顧客特別対応基準</t>
  </si>
  <si>
    <t>https://www4.kitei-kanri.jp/gf7/seikoepson/browse.php?action_treeList&amp;rule=239&amp;public_id=1</t>
  </si>
  <si>
    <t>GD624-04</t>
  </si>
  <si>
    <t>エプソングループ製品安全市場事故発生時の対応基準</t>
  </si>
  <si>
    <t>https://www4.kitei-kanri.jp/gf7/seikoepson/browse.php?action_treeList&amp;rule=240&amp;public_id=1</t>
  </si>
  <si>
    <t>GD631</t>
  </si>
  <si>
    <t>エプソングループAI管理規程</t>
  </si>
  <si>
    <t>https://www4.kitei-kanri.jp/gf7/seikoepson/browse.php?action_treeList&amp;rule=788&amp;public_id=1</t>
  </si>
  <si>
    <t>GD701</t>
  </si>
  <si>
    <t>エプソングループ生産管理規程</t>
  </si>
  <si>
    <t>https://www4.kitei-kanri.jp/gf7/seikoepson/browse.php?action_treeList&amp;rule=509&amp;public_id=1</t>
  </si>
  <si>
    <t>GD711</t>
  </si>
  <si>
    <t>エプソングループ調達管理規程</t>
  </si>
  <si>
    <t>https://www4.kitei-kanri.jp/gf7/seikoepson/browse.php?action_treeList&amp;rule=372&amp;public_id=1</t>
  </si>
  <si>
    <t>GD711-01</t>
  </si>
  <si>
    <t>エプソングループ調達管理運用基準</t>
  </si>
  <si>
    <t>https://www4.kitei-kanri.jp/gf7/seikoepson/browse.php?action_treeList&amp;rule=373&amp;public_id=1</t>
  </si>
  <si>
    <t>GD711-02</t>
  </si>
  <si>
    <t>エプソングループ調達先選定・終了手続基準</t>
  </si>
  <si>
    <t>https://www4.kitei-kanri.jp/gf7/seikoepson/browse.php?action_treeList&amp;rule=374&amp;public_id=1</t>
  </si>
  <si>
    <t>GD711-03</t>
  </si>
  <si>
    <t>エプソングループ調達に関わる手続基準</t>
  </si>
  <si>
    <t>https://www4.kitei-kanri.jp/gf7/seikoepson/browse.php?action_treeList&amp;rule=375&amp;public_id=1</t>
  </si>
  <si>
    <t>GD711-04</t>
  </si>
  <si>
    <t>エプソングループ調達先定期評価手続基準</t>
  </si>
  <si>
    <t>https://www4.kitei-kanri.jp/gf7/seikoepson/browse.php?action_treeList&amp;rule=376&amp;public_id=1</t>
  </si>
  <si>
    <t>GD711-05</t>
  </si>
  <si>
    <t>エプソングループサプライヤーCSRデューデリジェンス基準</t>
  </si>
  <si>
    <t>https://www4.kitei-kanri.jp/gf7/seikoepson/browse.php?action_treeList&amp;rule=377&amp;public_id=1</t>
  </si>
  <si>
    <t>GD711-06</t>
  </si>
  <si>
    <t>エプソングループ鉱物調査基準</t>
  </si>
  <si>
    <t>https://www4.kitei-kanri.jp/gf7/seikoepson/browse.php?action_treeList&amp;rule=378&amp;public_id=1</t>
  </si>
  <si>
    <t>JD711-07</t>
  </si>
  <si>
    <t>エプソングループ下請法・フリーランス法遵守基準</t>
  </si>
  <si>
    <t>https://www4.kitei-kanri.jp/gf7/seikoepson/browse.php?action_treeList&amp;rule=522&amp;public_id=1</t>
  </si>
  <si>
    <t>GD721</t>
  </si>
  <si>
    <t>エプソングループ貿易管理基本規程</t>
  </si>
  <si>
    <t>https://www4.kitei-kanri.jp/gf7/seikoepson/browse.php?action_treeList&amp;rule=243&amp;public_id=1</t>
  </si>
  <si>
    <t>GD721-01</t>
  </si>
  <si>
    <t>エプソングループ貿易管理に係る事故等処理基準</t>
  </si>
  <si>
    <t>https://www4.kitei-kanri.jp/gf7/seikoepson/browse.php?action_treeList&amp;rule=269&amp;public_id=1</t>
  </si>
  <si>
    <t>GD721-02-C</t>
  </si>
  <si>
    <t>エプソングループ貿易管理に係る内部監査実施基準</t>
  </si>
  <si>
    <t>https://www4.kitei-kanri.jp/gf7/seikoepson/browse.php?action_treeList&amp;rule=245&amp;public_id=1</t>
  </si>
  <si>
    <t>GD722</t>
  </si>
  <si>
    <t>エプソングループ安全保障貿易管理規程</t>
  </si>
  <si>
    <t>https://www4.kitei-kanri.jp/gf7/seikoepson/browse.php?action_treeList&amp;rule=247&amp;public_id=1</t>
  </si>
  <si>
    <t>GD722-04</t>
  </si>
  <si>
    <t>エプソングループ安全保障貿易管理に係る特定機械装置等管理基準</t>
  </si>
  <si>
    <t>https://www4.kitei-kanri.jp/gf7/seikoepson/browse.php?action_treeList&amp;rule=246&amp;public_id=1</t>
  </si>
  <si>
    <t>GD723</t>
  </si>
  <si>
    <t>エプソングループ輸出入業務管理規程</t>
  </si>
  <si>
    <t>https://www4.kitei-kanri.jp/gf7/seikoepson/browse.php?action_treeList&amp;rule=248&amp;public_id=1</t>
  </si>
  <si>
    <t>GD723-02</t>
  </si>
  <si>
    <t>エプソングループコンテナ総重量算出基準</t>
  </si>
  <si>
    <t>https://www4.kitei-kanri.jp/gf7/seikoepson/browse.php?action_treeList&amp;rule=249&amp;public_id=1</t>
  </si>
  <si>
    <t>GD724</t>
  </si>
  <si>
    <t>エプソングループ危険有害物質の国際輸送管理規程</t>
  </si>
  <si>
    <t>https://www4.kitei-kanri.jp/gf7/seikoepson/browse.php?action_treeList&amp;rule=670&amp;public_id=1</t>
  </si>
  <si>
    <t>GD725</t>
  </si>
  <si>
    <t>エプソングループ貿易管理に係るセキュリティー規程</t>
  </si>
  <si>
    <t>https://www4.kitei-kanri.jp/gf7/seikoepson/browse.php?action_treeList&amp;rule=251&amp;public_id=1</t>
  </si>
  <si>
    <t>JD725-01</t>
  </si>
  <si>
    <t>エプソングループ航空貨物保安対策基準</t>
  </si>
  <si>
    <t>https://www4.kitei-kanri.jp/gf7/seikoepson/browse.php?action_treeList&amp;rule=232&amp;public_id=1</t>
  </si>
  <si>
    <t>GD811</t>
  </si>
  <si>
    <t>エプソングループ情報セキュリティ規程</t>
  </si>
  <si>
    <t>https://www4.kitei-kanri.jp/gf7/seikoepson/browse.php?action_treeList&amp;rule=252&amp;public_id=1</t>
  </si>
  <si>
    <t>GD812</t>
  </si>
  <si>
    <t>エプソングループ情報システム利用規程</t>
  </si>
  <si>
    <t>https://www4.kitei-kanri.jp/gf7/seikoepson/browse.php?action_treeList&amp;rule=253&amp;public_id=1</t>
  </si>
  <si>
    <t>JD812-02</t>
  </si>
  <si>
    <t>エプソングループイントラネットのアカウント付与基準</t>
  </si>
  <si>
    <t>https://www4.kitei-kanri.jp/gf7/seikoepson/browse.php?action_treeList&amp;rule=233&amp;public_id=1</t>
  </si>
  <si>
    <t>GD813</t>
  </si>
  <si>
    <t>エプソングループ個人情報保護規程</t>
  </si>
  <si>
    <t>https://www4.kitei-kanri.jp/gf7/seikoepson/browse.php?action_treeList&amp;rule=254&amp;public_id=1</t>
  </si>
  <si>
    <t>JD813-02</t>
  </si>
  <si>
    <t>エプソングループ社員個人情報保護基準</t>
  </si>
  <si>
    <t>https://www4.kitei-kanri.jp/gf7/seikoepson/browse.php?action_treeList&amp;rule=234&amp;public_id=1</t>
  </si>
  <si>
    <t>JD814</t>
  </si>
  <si>
    <t>エプソングループ特定個人情報管理規程</t>
  </si>
  <si>
    <t>https://www4.kitei-kanri.jp/gf7/seikoepson/browse.php?action_treeList&amp;rule=523&amp;public_id=1</t>
  </si>
  <si>
    <t>GD821</t>
  </si>
  <si>
    <t>エプソングループ情報化規程</t>
  </si>
  <si>
    <t>https://www4.kitei-kanri.jp/gf7/seikoepson/browse.php?action_treeList&amp;rule=255&amp;public_id=1</t>
  </si>
  <si>
    <t>GD821-01</t>
  </si>
  <si>
    <t>エプソングループ情報化基準</t>
  </si>
  <si>
    <t>https://www4.kitei-kanri.jp/gf7/seikoepson/browse.php?action_treeList&amp;rule=256&amp;public_id=1</t>
  </si>
  <si>
    <t>GD821-02</t>
  </si>
  <si>
    <t>エプソングループソフトウェアライセンス管理基準</t>
  </si>
  <si>
    <t>https://www4.kitei-kanri.jp/gf7/seikoepson/browse.php?action_treeList&amp;rule=257&amp;public_id=1</t>
  </si>
  <si>
    <t>GD821-03</t>
  </si>
  <si>
    <t>エプソングループ情報システムセキュリティー基準</t>
  </si>
  <si>
    <t>https://www4.kitei-kanri.jp/gf7/seikoepson/browse.php?action_treeList&amp;rule=258&amp;public_id=1</t>
  </si>
  <si>
    <t>GD831</t>
  </si>
  <si>
    <t>エプソングループコード体系管理規程</t>
  </si>
  <si>
    <t>https://www4.kitei-kanri.jp/gf7/seikoepson/browse.php?action_treeList&amp;rule=259&amp;public_id=1</t>
  </si>
  <si>
    <t>GD831-01</t>
  </si>
  <si>
    <t>エプソングループ品目コード管理基準</t>
  </si>
  <si>
    <t>https://www4.kitei-kanri.jp/gf7/seikoepson/browse.php?action_treeList&amp;rule=745&amp;public_id=1</t>
  </si>
  <si>
    <t>GD831-02</t>
  </si>
  <si>
    <t>エプソングループ製品型番管理基準</t>
  </si>
  <si>
    <t>https://www4.kitei-kanri.jp/gf7/seikoepson/browse.php?action_treeList&amp;rule=766&amp;public_id=1</t>
  </si>
  <si>
    <t>GD831-03</t>
  </si>
  <si>
    <t>エプソングループ製品コード管理基準</t>
  </si>
  <si>
    <t>https://www4.kitei-kanri.jp/gf7/seikoepson/browse.php?action_treeList&amp;rule=746&amp;public_id=1</t>
  </si>
  <si>
    <t>GD831-04</t>
  </si>
  <si>
    <t>エプソングループ部品コード管理基準</t>
  </si>
  <si>
    <t>https://www4.kitei-kanri.jp/gf7/seikoepson/browse.php?action_treeList&amp;rule=768&amp;public_id=1</t>
    <phoneticPr fontId="1"/>
  </si>
  <si>
    <t>GD831-05</t>
  </si>
  <si>
    <t>エプソングループ取引先コード体系管理基準</t>
  </si>
  <si>
    <t>https://www4.kitei-kanri.jp/gf7/seikoepson/browse.php?action_treeList&amp;rule=747&amp;public_id=1</t>
    <phoneticPr fontId="1"/>
  </si>
  <si>
    <t>A-03-001</t>
  </si>
  <si>
    <t>製品安全性_基本規格</t>
  </si>
  <si>
    <t>https://epsongroup.sharepoint.com/sites/ps_ja/SubSite6/documents/A-03-001%20Rev10.pdf</t>
    <phoneticPr fontId="1"/>
  </si>
  <si>
    <t>EQS_CORP</t>
  </si>
  <si>
    <t>SAFETY</t>
  </si>
  <si>
    <t>-</t>
  </si>
  <si>
    <t>A-03-100</t>
  </si>
  <si>
    <t>製品安全性_基本規格（産業用機械）</t>
  </si>
  <si>
    <t>https://epsongroup.sharepoint.com/sites/ps_ja/SubSite6/documents/A-03-100%20Rev3.pdf</t>
  </si>
  <si>
    <t>A-03-200</t>
  </si>
  <si>
    <t>製品安全性_再発防止規格</t>
  </si>
  <si>
    <t>http://jpeswa073.apo.epson.net/swa/000106/eqsopen.nsf/c302e6613999b046492568c70016141a/949793ca39270dc849258871001eb50f/$FILE/A-03-200%20Rev3.pdf</t>
  </si>
  <si>
    <t>A-04-100</t>
  </si>
  <si>
    <t>消費者保護に関する製品表示法規制の基本規格</t>
  </si>
  <si>
    <t>http://jpeswa073.apo.epson.net/swa/000106/eqsopen.nsf/4627d9c9f24ee7a949256c28001862f9/14ac9ee11aee9f2c49257ecf0031536d/$FILE/A-04-100%20Rev1.pdf</t>
  </si>
  <si>
    <t>A-03-002</t>
  </si>
  <si>
    <t>製品安全性_設計規格</t>
  </si>
  <si>
    <t>https://epsongroup.sharepoint.com/sites/ps_ja/SubSite6/documents/A-03-002%20Rev14.pdf</t>
  </si>
  <si>
    <t>A-03-003</t>
  </si>
  <si>
    <t>製品安全性_評価規格</t>
  </si>
  <si>
    <t>https://epsongroup.sharepoint.com/sites/ps_ja/SubSite6/documents/A-03-003%20Rev13.pdf</t>
  </si>
  <si>
    <t>A-03-102</t>
  </si>
  <si>
    <t>製品安全性_評価規格（産業用機械）</t>
  </si>
  <si>
    <t>https://epsongroup.sharepoint.com/:b:/r/sites/ps_ja/SubSite6/Documents/A-03-102%20Rev3.pdf</t>
  </si>
  <si>
    <t>A-12-003</t>
  </si>
  <si>
    <t>製品含有禁止化学物質</t>
  </si>
  <si>
    <t>http://jpeswa073.apo.epson.net/swa/000106/eqsopen.nsf/A-12/A-12-003/</t>
  </si>
  <si>
    <t>CHEMICAL</t>
  </si>
  <si>
    <t>A-12-005</t>
  </si>
  <si>
    <t>製品含有化学物質保証規格</t>
  </si>
  <si>
    <t>http://jpeswa073.apo.epson.net/swa/000106/eqsopen.nsf/A-12/A-12-005/</t>
  </si>
  <si>
    <t>A-12-009</t>
  </si>
  <si>
    <t>製品含有化学物質受入検査規格</t>
  </si>
  <si>
    <t>http://jpeswa073.apo.epson.net/swa/000106/eqsopen.nsf/A-12/A-12-009/</t>
  </si>
  <si>
    <t>A-12-011</t>
  </si>
  <si>
    <t>RoHS対応技術文書</t>
  </si>
  <si>
    <t>http://jpeswa073.apo.epson.net/swa/000106/eqsopen.nsf/A-12/A-12-011/</t>
  </si>
  <si>
    <t>A-12-014</t>
  </si>
  <si>
    <t>複合木材製品ホルムアルデヒド規制対応（米国・カナダ）</t>
  </si>
  <si>
    <t>http://jpeswa073.apo.epson.net/swa/000106/eqsopen.nsf/A-12/A-12-014/</t>
  </si>
  <si>
    <t>A-12-015</t>
    <phoneticPr fontId="1"/>
  </si>
  <si>
    <t>EU_RoHS対応判断</t>
  </si>
  <si>
    <t>http://jpeswa073.apo.epson.net/swa/000106/eqsopen.nsf/A-12/A-12-015/</t>
  </si>
  <si>
    <t>A-12-016</t>
  </si>
  <si>
    <t>各国RoHS対応</t>
  </si>
  <si>
    <t>http://jpeswa073.apo.epson.net/swa/000106/eqsopen.nsf/A-12/A-12-016/</t>
  </si>
  <si>
    <t>A-12-017</t>
  </si>
  <si>
    <t>成形品のEU_REACH対応</t>
  </si>
  <si>
    <t>http://jpeswa073.apo.epson.net/swa/000106/eqsopen.nsf/A-12/A-12-017/</t>
    <phoneticPr fontId="1"/>
  </si>
  <si>
    <t>A-12-018</t>
  </si>
  <si>
    <t>​​​​水銀含有製品への対応（各国）</t>
  </si>
  <si>
    <t>http://jpeswa162.apo.epson.net/swa/000106/eqsopen.nsf/all/182BC6E3CDBF886A49258D180003267A</t>
  </si>
  <si>
    <t>A-10-007</t>
  </si>
  <si>
    <t>過塩素酸塩含有製品への表示（米国）</t>
  </si>
  <si>
    <t>http://jpeswa073.apo.epson.net/swa/000106/eqsopen.nsf/A-10/A-10-007/</t>
  </si>
  <si>
    <t>B-12-003</t>
  </si>
  <si>
    <t>特定化学物質を含む電池の使用禁止</t>
  </si>
  <si>
    <t>http://jpeswa073.apo.epson.net/swa/000106/eqsopen.nsf/B-12/B-12-003/</t>
  </si>
  <si>
    <t>B-10-007</t>
  </si>
  <si>
    <t>PVCコード・ケーブルへの表示（米国）</t>
  </si>
  <si>
    <t>http://jpeswa073.apo.epson.net/swa/000106/eqsopen.nsf/B-10/B-10-007/</t>
  </si>
  <si>
    <t>A-14-001</t>
  </si>
  <si>
    <t>化学製品安全規格</t>
  </si>
  <si>
    <t>http://jpeswa073.apo.epson.net/swa/000106/eqsopen.nsf/1c698c1fd137ff9749257d64007bdec1/7653718f63e2bb1949258d0c00709bd2?OpenDocument</t>
    <phoneticPr fontId="1"/>
  </si>
  <si>
    <t>A-14-002</t>
  </si>
  <si>
    <t>韓国生活化学製品対応表示</t>
  </si>
  <si>
    <t>http://jpeswa073.apo.epson.net/swa/000106/eqsopen.nsf/1c698c1fd137ff9749257d64007bdec1/75b8e1764b069a3a492589de000758be?OpenDocument</t>
  </si>
  <si>
    <t>A-14-003</t>
  </si>
  <si>
    <t>中国VOC規制対応(印刷インク、洗浄剤)</t>
  </si>
  <si>
    <t>http://jpeswa073.apo.epson.net/swa/000106/eqsopen.nsf/1c698c1fd137ff9749257d64007bdec1/b05240973d33a08949258a590010e4ac?OpenDocument</t>
    <phoneticPr fontId="1"/>
  </si>
  <si>
    <t>A-14-004</t>
  </si>
  <si>
    <t>ＧＨＳ対応表示</t>
  </si>
  <si>
    <t>http://jpeswa073.apo.epson.net/swa/000106/eqsopen.nsf/1c698c1fd137ff9749257d64007bdec1/64baf75b7de660aa49258ba900208c39?OpenDocument</t>
    <phoneticPr fontId="1"/>
  </si>
  <si>
    <t>A-10-005</t>
  </si>
  <si>
    <t>WEEE規制対応（欧州）</t>
  </si>
  <si>
    <t>http://jpeswa073.apo.epson.net/swa/000106/eqsopen.nsf/A-10/A-10-005</t>
  </si>
  <si>
    <t>ENVIROMENT</t>
  </si>
  <si>
    <t>A-10-010</t>
  </si>
  <si>
    <t>WEEE規制対応（韓国）</t>
  </si>
  <si>
    <t>http://jpeswa073.apo.epson.net/swa/000106/eqsopen.nsf/A-10/A-10-010</t>
  </si>
  <si>
    <t>A-10-011</t>
  </si>
  <si>
    <t>WEEE規制対応（ブラジル・サンパウロ州）</t>
  </si>
  <si>
    <t>http://jpeswa073.apo.epson.net/swa/000106/eqsopen.nsf/A-10/A-10-011</t>
  </si>
  <si>
    <t>A-10-012</t>
  </si>
  <si>
    <t>WEEE規制対応（インド）</t>
  </si>
  <si>
    <t>http://jpeswa073.apo.epson.net/swa/000106/eqsopen.nsf/A-10/A-10-012</t>
  </si>
  <si>
    <t>A-10-013</t>
  </si>
  <si>
    <t>WEEE規制対応（アルゼンチン・ブエノスアイレス州）</t>
  </si>
  <si>
    <t>http://jpeswa073.apo.epson.net/swa/000106/eqsopen.nsf/A-10/A-10-013</t>
  </si>
  <si>
    <t>A-10-015</t>
    <phoneticPr fontId="1"/>
  </si>
  <si>
    <t>WEEE規制対応（トルコ）</t>
  </si>
  <si>
    <t>http://jpeswa073.apo.epson.net/swa/000106/eqsopen.nsf/96019e9cf0bff8274925682b00307edf/c4a09ef2a60946cb49258a52007afdd3?OpenDocument</t>
  </si>
  <si>
    <t>A-12-007</t>
  </si>
  <si>
    <t>製品放散物質規格</t>
  </si>
  <si>
    <t>http://jpeswa073.apo.epson.net/swa/000106/eqsopen.nsf/A-12/A-12-007</t>
  </si>
  <si>
    <t>A-12-008</t>
  </si>
  <si>
    <t>製品放散物質測定規格</t>
  </si>
  <si>
    <t>http://jpeswa073.apo.epson.net/swa/000106/eqsopen.nsf/A-12/A-12-008</t>
  </si>
  <si>
    <t>A-12-013</t>
  </si>
  <si>
    <t>違法伐採木材規制</t>
  </si>
  <si>
    <t>http://jpeswa073.apo.epson.net/swa/000106/eqsopen.nsf/A-12/A-12-013</t>
  </si>
  <si>
    <t>A-12-201</t>
  </si>
  <si>
    <t>省エネルギー（製品本体）</t>
  </si>
  <si>
    <t>http://jpeswa073.apo.epson.net/swa/000106/eqsopen.nsf/A-12/A-12-201</t>
  </si>
  <si>
    <t>A-12-203</t>
  </si>
  <si>
    <t>省エネルギー（バッテリーチャージャー）</t>
  </si>
  <si>
    <t>http://jpeswa073.apo.epson.net/swa/000106/eqsopen.nsf/A-12/A-12-203</t>
  </si>
  <si>
    <t>A-12-204</t>
  </si>
  <si>
    <t>省エネルギー(ランプ)</t>
  </si>
  <si>
    <t>http://jpeswa073.apo.epson.net/swa/000106/eqsopen.nsf/A-12/A-12-204</t>
  </si>
  <si>
    <t>A-12-401</t>
  </si>
  <si>
    <t>ErP指令Lot4自主協定（情報画像機器）</t>
  </si>
  <si>
    <t>http://jpeswa073.apo.epson.net/swa/000106/eqsopen.nsf/A-12/A-12-401</t>
  </si>
  <si>
    <t>A-12-402</t>
  </si>
  <si>
    <t xml:space="preserve">	エコデザイン(ディスプレイ)</t>
  </si>
  <si>
    <t>http://jpeswa073.apo.epson.net/swa/000106/eqsopen.nsf/A-12/A-12-402/</t>
  </si>
  <si>
    <t>A-12-501</t>
  </si>
  <si>
    <t>製品環境品質と特性に関する消費者への情報提供（フランス）</t>
  </si>
  <si>
    <t>http://jpeswa073.apo.epson.net/swa/000106/eqsopen.nsf/A-12/A-12-501/</t>
  </si>
  <si>
    <t>B-10-002</t>
  </si>
  <si>
    <t>プラスチック部品への材質名表示</t>
  </si>
  <si>
    <t>http://jpeswa073.apo.epson.net/swa/000106/eqsopen.nsf/B-10/B-10-002</t>
  </si>
  <si>
    <t>B-10-003</t>
  </si>
  <si>
    <t>一次電池の使用における表示</t>
  </si>
  <si>
    <t>http://jpeswa073.apo.epson.net/swa/000106/eqsopen.nsf/B-10/B-10-003</t>
  </si>
  <si>
    <t>B-10-004</t>
  </si>
  <si>
    <t>二次電池の使用における表示</t>
  </si>
  <si>
    <t>http://jpeswa073.apo.epson.net/swa/000106/eqsopen.nsf/B-10/B-10-004</t>
  </si>
  <si>
    <t>B-12-002</t>
  </si>
  <si>
    <t>電池の取外し容易化構造</t>
  </si>
  <si>
    <t>http://jpeswa073.apo.epson.net/swa/000106/eqsopen.nsf/B-12/B-12-002</t>
  </si>
  <si>
    <t>B-12-004</t>
  </si>
  <si>
    <t>電池の認可登録</t>
  </si>
  <si>
    <t>http://jpeswa073.apo.epson.net/swa/000106/eqsopen.nsf/B-12/B-12-004</t>
    <phoneticPr fontId="6"/>
  </si>
  <si>
    <t>G-10-002</t>
  </si>
  <si>
    <t>包装材(WW)</t>
  </si>
  <si>
    <t>http://jpeswa073.apo.epson.net/swa/000106/eqsopen.nsf/G-10/G-10-002</t>
  </si>
  <si>
    <t>G-10-003</t>
  </si>
  <si>
    <t>包装材への識別表示（欧州）</t>
  </si>
  <si>
    <t>http://jpeswa073.apo.epson.net/swa/000106/eqsopen.nsf/G-10/G-10-003</t>
  </si>
  <si>
    <t>G-10-004</t>
  </si>
  <si>
    <t>包装材への識別表示（日本）</t>
  </si>
  <si>
    <t>http://jpeswa073.apo.epson.net/swa/000106/eqsopen.nsf/G-10/G-10-004</t>
  </si>
  <si>
    <t>G-10-005</t>
  </si>
  <si>
    <t>プラスチック包装材への識別表示（韓国）</t>
  </si>
  <si>
    <t>http://jpeswa073.apo.epson.net/swa/000106/eqsopen.nsf/G-10/G-10-005</t>
  </si>
  <si>
    <t>G-10-006</t>
  </si>
  <si>
    <t>包装材への識別表示（中国）</t>
  </si>
  <si>
    <t>http://jpeswa073.apo.epson.net/swa/000106/eqsopen.nsf/G-10/G-10-006</t>
    <phoneticPr fontId="6"/>
  </si>
  <si>
    <t>G-10-007</t>
  </si>
  <si>
    <t>包装材への識別表示（台湾）</t>
  </si>
  <si>
    <t>http://jpeswa073.apo.epson.net/swa/000106/eqsopen.nsf/G-10/G-10-007</t>
    <phoneticPr fontId="6"/>
  </si>
  <si>
    <t>G-10-008</t>
  </si>
  <si>
    <t>包装材と印刷紙の識別表示（フランス）</t>
  </si>
  <si>
    <t>G-10-009</t>
  </si>
  <si>
    <t>電気電子機器の識別表示（フランス）</t>
  </si>
  <si>
    <t>G-10-010</t>
  </si>
  <si>
    <t>包装材への識別表示（イタリア）</t>
  </si>
  <si>
    <t>http://jpeswa073.apo.epson.net/swa/000106/eqsopen.nsf/f21f2a636fa1c875492568c70016141d/f7e3ab98959c83264925895c0013d166?OpenDocument</t>
  </si>
  <si>
    <t>G-10-011</t>
  </si>
  <si>
    <t>包装材への識別表示（スペイン）</t>
  </si>
  <si>
    <t>http://jpeswa073.apo.epson.net/swa/000106/eqsopen.nsf/f21f2a636fa1c875492568c70016141d/b95509410673232749258b100024fd7f?OpenDocument</t>
  </si>
  <si>
    <t>G-12-004</t>
  </si>
  <si>
    <t>包装材への設計要求（オーストラリア）</t>
  </si>
  <si>
    <t>http://jpeswa073.apo.epson.net/swa/000106/eqsopen.nsf/42f659deb8e6f947492568c70016141f/d8e2f1e3326bfa0849258afb00826c51?OpenDocument</t>
  </si>
  <si>
    <t>A-13-005</t>
  </si>
  <si>
    <t>製品EMC規格</t>
  </si>
  <si>
    <t>http://jpeswa073.apo.epson.net/swa/000106/eqsopen.nsf/680dcbd012756288492568c70016141b/93627b3b1606f892492581f30030ba8e?OpenDocument</t>
    <phoneticPr fontId="1"/>
  </si>
  <si>
    <t>EMC</t>
  </si>
  <si>
    <t>A-99-001</t>
  </si>
  <si>
    <t>製品のセキュリティ_脆弱性評価規格</t>
  </si>
  <si>
    <t>http://jpeswa073.apo.epson.net/swa/000106/eqsopen.nsf/4e1739f41c25736b492576fc00084d22/79c74b35d32c66b049258b2e00274dfa?OpenDocument</t>
  </si>
  <si>
    <t>SECURITY</t>
  </si>
  <si>
    <t>G-04-001</t>
  </si>
  <si>
    <t>総則</t>
  </si>
  <si>
    <t>http://jpeswa073.apo.epson.net/swa/000106/eqsopen.nsf/606fe6d225426f10492576fc00026116/3c5c67b466c9fe85492576fe002ee1ee?OpenDocument</t>
  </si>
  <si>
    <t>TRANSPORT</t>
  </si>
  <si>
    <t>G-04-002</t>
  </si>
  <si>
    <t>木材梱包規制</t>
  </si>
  <si>
    <t>http://jpeswa073.apo.epson.net/swa/000106/eqsopen.nsf/606fe6d225426f10492576fc00026116/bf35830f6a0a8f7b4925856d002adbf1?OpenDocument</t>
    <phoneticPr fontId="1"/>
  </si>
  <si>
    <t>G-04-003</t>
  </si>
  <si>
    <t>リチウム系電池の輸送表示</t>
  </si>
  <si>
    <t>http://jpeswa073.apo.epson.net/swa/000106/eqsopen.nsf/606fe6d225426f10492576fc00026116/9ad7a8d8afe6d7f8492589630080ff4c?OpenDocument</t>
    <phoneticPr fontId="1"/>
  </si>
  <si>
    <t>B-05-001</t>
  </si>
  <si>
    <t>FFC/FPC/コネクタのウィスカ評価規格</t>
  </si>
  <si>
    <t>http://jpeswa073.apo.epson.net/swa/000106/eqsopen.nsf/e263adbc18db15e849256ffe00087a5e/d9c45078277ee4c149256ff10030e475?OpenDocument</t>
    <phoneticPr fontId="1"/>
  </si>
  <si>
    <t>Wisker</t>
  </si>
  <si>
    <t>A-15-001</t>
  </si>
  <si>
    <t>EQS_AI製品・サービス_基本規格</t>
  </si>
  <si>
    <t>https://epsongroup.sharepoint.com/:w:/r/sites/00S_00415/DocLib5/Regulations/A-15-001%20%E5%9F%BA%E6%9C%AC%E8%A6%8F%E6%A0%BC.doc?d=waca14bc3778e4588ab79e30636520aa3&amp;csf=1&amp;web=1&amp;e=yGkmrH</t>
  </si>
  <si>
    <t>C73-A-0101</t>
  </si>
  <si>
    <t>品質マニュアル</t>
  </si>
  <si>
    <t>https://ei-core-02.apo.epson.net/prozou/html/document/view/313534390000000000000000000000000000/1462342</t>
  </si>
  <si>
    <t>RULES_VP</t>
  </si>
  <si>
    <t>ISO9001</t>
  </si>
  <si>
    <t>COMMON</t>
  </si>
  <si>
    <t>C73-A-0301</t>
  </si>
  <si>
    <t>業務分掌基準</t>
  </si>
  <si>
    <t>https://ei-core-02.apo.epson.net/prozou/html/document/view/313533730000000000000000000000000000/1432267</t>
  </si>
  <si>
    <t>C73-A-0302</t>
  </si>
  <si>
    <t>品質保証体系運用基準</t>
  </si>
  <si>
    <t>https://ei-core-02.apo.epson.net/prozou/html/document/view/313534070000000000000000000000000000/1729390</t>
  </si>
  <si>
    <t>C73-A-0305</t>
  </si>
  <si>
    <t>標準化委員会基準</t>
  </si>
  <si>
    <t>https://ei-core-02.apo.epson.net/prozou/html/document/view/313533580000000000000000000000000000/1384184</t>
  </si>
  <si>
    <t>C73-A-0306</t>
  </si>
  <si>
    <t>https://ei-core-02.apo.epson.net/prozou/html/document/view/313534400000000000000000000000000000/1384207</t>
  </si>
  <si>
    <t>C73-A-0307</t>
  </si>
  <si>
    <t>光学部品製造現地法人(EWL,EPPI)との業務分担基準</t>
  </si>
  <si>
    <t>https://ei-core-02.apo.epson.net/prozou/html/document/view/313534180000000000000000000000000000/1416877</t>
  </si>
  <si>
    <t>VI</t>
  </si>
  <si>
    <t>C73-A-0308</t>
  </si>
  <si>
    <t>事業部－製造現法業務分担管理基準</t>
  </si>
  <si>
    <t>https://ei-core-02.apo.epson.net/prozou/html/document/view/313533740000000000000000000000000000/1384224</t>
  </si>
  <si>
    <t>C73-A-0501</t>
  </si>
  <si>
    <t>QＦコスト管理基準</t>
  </si>
  <si>
    <t>https://ei-core-02.apo.epson.net/prozou/html/document/view/313534320000000000000000000000000000/1462393</t>
  </si>
  <si>
    <t>C73-A-0605</t>
  </si>
  <si>
    <t>環境法令対応基準</t>
  </si>
  <si>
    <t>https://ei-core-02.apo.epson.net/prozou/html/document/view/313534540000000000000000000000000000/1591944</t>
  </si>
  <si>
    <t>C73-A-0606</t>
  </si>
  <si>
    <t>製品アセスメント運用基準</t>
  </si>
  <si>
    <t>https://ei-core-02.apo.epson.net/prozou/html/document/view/313534140000000000000000000000000000/1384294</t>
  </si>
  <si>
    <t>C73-A-0702</t>
  </si>
  <si>
    <t>品質計画書運用基準</t>
  </si>
  <si>
    <t>https://ei-core-02.apo.epson.net/prozou/html/document/view/313534100000000000000000000000000000/1386794</t>
  </si>
  <si>
    <t>C73-A-0801</t>
  </si>
  <si>
    <t>https://ei-core-02.apo.epson.net/prozou/html/document/view/313533450000000000000000000000000000/1386814</t>
  </si>
  <si>
    <t>C73-A-0802</t>
  </si>
  <si>
    <t>重点保安部品・機能、安全重点管理ポイント管理基準</t>
  </si>
  <si>
    <t>https://ei-core-02.apo.epson.net/prozou/html/document/view/313533550000000000000000000000000000/1386862</t>
  </si>
  <si>
    <t>C73-A-0803</t>
  </si>
  <si>
    <t>製品放散物質管理基準</t>
  </si>
  <si>
    <t>https://ei-core-02.apo.epson.net/prozou/html/document/view/313533400000000000000000000000000000/1389353</t>
  </si>
  <si>
    <t>C73-A-0804</t>
  </si>
  <si>
    <t>https://ei-core-02.apo.epson.net/prozou/html/document/view/313534120000000000000000000000000000/1389372</t>
  </si>
  <si>
    <t>C73-A-0805</t>
  </si>
  <si>
    <t>事業部EQS運用基準</t>
  </si>
  <si>
    <t>https://ei-core-02.apo.epson.net/prozou/html/document/view/313533440000000000000000000000000000/1389394</t>
  </si>
  <si>
    <t>C73-A-0806</t>
  </si>
  <si>
    <t>販社独自調達品管理基準</t>
  </si>
  <si>
    <t>https://ei-core-02.apo.epson.net/prozou/html/document/view/313534330000000000000000000000000000/1852034</t>
  </si>
  <si>
    <t>C73-A-0809</t>
  </si>
  <si>
    <t>安全性チェックリスト運用基準</t>
  </si>
  <si>
    <t>https://ei-core-02.apo.epson.net/prozou/html/document/view/313534240000000000000000000000000000/1729441</t>
  </si>
  <si>
    <t>C73-A-0810</t>
  </si>
  <si>
    <t>事業部起案_推奨品/動作確認品情報認定基準</t>
  </si>
  <si>
    <t>https://ei-core-02.apo.epson.net/prozou/html/document/view/313534040000000000000000000000000000/1389459</t>
  </si>
  <si>
    <t>C73-A-0901</t>
  </si>
  <si>
    <t>品質問題管理基準</t>
  </si>
  <si>
    <t>https://ei-core-02.apo.epson.net/prozou/html/document/view/313534190000000000000000000000000000/1538257</t>
  </si>
  <si>
    <t>C73-A-1002</t>
  </si>
  <si>
    <t>過去トラ情報運用基準</t>
  </si>
  <si>
    <t>https://ei-core-02.apo.epson.net/prozou/html/document/view/313534410000000000000000000000000000/1416887</t>
  </si>
  <si>
    <t>C73-A-1003</t>
  </si>
  <si>
    <t>事業部規格・標準管理基準</t>
  </si>
  <si>
    <t>https://ei-core-02.apo.epson.net/prozou/html/document/view/313534420000000000000000000000000000/1389505</t>
  </si>
  <si>
    <t>C73-A-9903</t>
  </si>
  <si>
    <t>ＣＳ・品質指標管理基準</t>
  </si>
  <si>
    <t>https://ei-core-02.apo.epson.net/prozou/html/document/view/313533500000000000000000000000000000/1389520</t>
  </si>
  <si>
    <t>C73-B-0402</t>
  </si>
  <si>
    <t>製品および管理階層呼称の運用基準</t>
  </si>
  <si>
    <t>https://ei-core-02.apo.epson.net/prozou/html/document/view/313534550000000000000000000000000000/1591947</t>
  </si>
  <si>
    <t>C73-B-0501</t>
  </si>
  <si>
    <t>商品化提案会議運用基準</t>
  </si>
  <si>
    <t>https://ei-core-02.apo.epson.net/prozou/html/document/view/313534690000000000000000000000000000/1852076</t>
  </si>
  <si>
    <t>C73-B-0502</t>
  </si>
  <si>
    <t>デザインレビュー運用基準</t>
  </si>
  <si>
    <t>https://ei-core-02.apo.epson.net/prozou/html/document/view/313534430000000000000000000000000000/1389533</t>
  </si>
  <si>
    <t>C73-C-0101</t>
  </si>
  <si>
    <t>商品企画書運用基準</t>
  </si>
  <si>
    <t>https://ei-core-02.apo.epson.net/prozou/html/document/view/313534700000000000000000000000000000/1852089</t>
  </si>
  <si>
    <t>C73-C-0102</t>
  </si>
  <si>
    <t>中期事業戦略策定基準</t>
  </si>
  <si>
    <t>https://ei-core-02.apo.epson.net/prozou/html/document/view/313533800000000000000000000000000000/1432151</t>
  </si>
  <si>
    <t>C73-C-0105</t>
  </si>
  <si>
    <t>独立型ソフトウェア製品化基準</t>
  </si>
  <si>
    <t>https://ei-core-02.apo.epson.net/prozou/html/document/view/313534250000000000000000000000000000/1852096</t>
  </si>
  <si>
    <t>C73-C-0107</t>
  </si>
  <si>
    <t>製品デザイン決定プロセス運用基準</t>
  </si>
  <si>
    <t>https://ei-core-02.apo.epson.net/prozou/html/document/view/313534110000000000000000000000000000/1432298</t>
  </si>
  <si>
    <t>C73-C-0108</t>
  </si>
  <si>
    <t>商品実現性確認会議運用基準</t>
  </si>
  <si>
    <t>https://ei-core-02.apo.epson.net/prozou/html/document/view/313534710000000000000000000000000000/1432168</t>
  </si>
  <si>
    <t>C73-C-0201</t>
  </si>
  <si>
    <t>新製品リスク抽出運用基準</t>
  </si>
  <si>
    <t>https://ei-core-02.apo.epson.net/prozou/html/document/view/313533750000000000000000000000000000/1389546</t>
  </si>
  <si>
    <t>C73-C-0301</t>
  </si>
  <si>
    <t>仕様書制定・改廃基準</t>
  </si>
  <si>
    <t>https://ei-core-02.apo.epson.net/prozou/html/document/view/313533510000000000000000000000000000/1389558</t>
  </si>
  <si>
    <t>C73-C-0401</t>
  </si>
  <si>
    <t>設計管理基準</t>
  </si>
  <si>
    <t>https://ei-core-02.apo.epson.net/prozou/html/document/view/313534090000000000000000000000000000/1424944</t>
  </si>
  <si>
    <t>C73-C-0403</t>
  </si>
  <si>
    <t>設計評価･量産検証管理基準</t>
  </si>
  <si>
    <t>https://ei-core-02.apo.epson.net/prozou/html/document/view/313534080000000000000000000000000000/1424957</t>
  </si>
  <si>
    <t>C73-C-0405</t>
  </si>
  <si>
    <t>製品設計変更管理基準</t>
  </si>
  <si>
    <t>https://ei-core-02.apo.epson.net/prozou/html/document/view/313534560000000000000000000000000000/1852105</t>
  </si>
  <si>
    <t>C73-C-0406</t>
  </si>
  <si>
    <t>ソフトウェアデザインレビュー運用基準</t>
  </si>
  <si>
    <t>https://ei-core-02.apo.epson.net/prozou/html/document/view/313534200000000000000000000000000000/1424972</t>
  </si>
  <si>
    <t>C73-C-0410</t>
  </si>
  <si>
    <t>製品ユーザーインターフェイス決定プロセス運用基準</t>
  </si>
  <si>
    <t>https://ei-core-02.apo.epson.net/prozou/html/document/view/313533940000000000000000000000000000/1425003</t>
  </si>
  <si>
    <t>C73-C-0501</t>
  </si>
  <si>
    <t>設計認定会議運用基準</t>
  </si>
  <si>
    <t>https://ei-core-02.apo.epson.net/prozou/html/document/view/313534260000000000000000000000000000/1425070</t>
  </si>
  <si>
    <t>C73-C-0502</t>
  </si>
  <si>
    <t>要素開発レビュー基準</t>
  </si>
  <si>
    <t>https://ei-core-02.apo.epson.net/prozou/html/document/view/313534670000000000000000000000000000/1425076</t>
  </si>
  <si>
    <t>C73-C-0701</t>
  </si>
  <si>
    <t>設計文書管理基準</t>
  </si>
  <si>
    <t>https://ei-core-02.apo.epson.net/prozou/html/document/view/313533670000000000000000000000000000/1425086</t>
  </si>
  <si>
    <t>C73-C-0702</t>
  </si>
  <si>
    <t>ASIC開発管理基準</t>
  </si>
  <si>
    <t>https://ei-core-02.apo.epson.net/prozou/html/document/view/313533830000000000000000000000000000/1425092</t>
  </si>
  <si>
    <t>C73-C-0801</t>
  </si>
  <si>
    <t>大日程計画管理基準</t>
  </si>
  <si>
    <t>https://ei-core-02.apo.epson.net/prozou/html/document/view/313534570000000000000000000000000000/1425103</t>
  </si>
  <si>
    <t>C73-C-0802</t>
  </si>
  <si>
    <t>テクニカルレビュー運用基準</t>
  </si>
  <si>
    <t>https://ei-core-02.apo.epson.net/prozou/html/document/view/313534270000000000000000000000000000/1425113</t>
  </si>
  <si>
    <t>C73-C-0901</t>
  </si>
  <si>
    <t>商品化決定会議運用基準</t>
  </si>
  <si>
    <t>https://ei-core-02.apo.epson.net/prozou/html/document/view/313534280000000000000000000000000000/1425117</t>
  </si>
  <si>
    <t>C73-D-0201</t>
  </si>
  <si>
    <t>量産認定会議運用基準</t>
  </si>
  <si>
    <t>https://ei-core-02.apo.epson.net/prozou/html/document/view/313534130000000000000000000000000000/1416928</t>
  </si>
  <si>
    <t>C73-D-0401</t>
  </si>
  <si>
    <t>技術標準類・作業標準類制定・改廃基準</t>
  </si>
  <si>
    <t>https://ei-core-02.apo.epson.net/prozou/html/document/view/313533840000000000000000000000000000/1417139</t>
  </si>
  <si>
    <t>C73-E-0101</t>
  </si>
  <si>
    <t>新規調達先選定・終了手続基準</t>
  </si>
  <si>
    <t>https://ei-core-02.apo.epson.net/prozou/html/document/view/313534300000000000000000000000000000/1429773</t>
  </si>
  <si>
    <t>C73-E-0201</t>
  </si>
  <si>
    <t>外注先へ要求する品質保証基準書の管理基準</t>
  </si>
  <si>
    <t>https://ei-core-02.apo.epson.net/prozou/html/document/view/313534620000000000000000000000000000/1591972</t>
  </si>
  <si>
    <t>C73-E-0202</t>
  </si>
  <si>
    <t>購買メーカーへ要求する品質保証基準書の管理基準</t>
  </si>
  <si>
    <t>https://ei-core-02.apo.epson.net/prozou/html/document/view/313534610000000000000000000000000000/1729456</t>
  </si>
  <si>
    <t>C73-E-0401</t>
  </si>
  <si>
    <t>調達先ＱＡ監査基準</t>
  </si>
  <si>
    <t>https://ei-core-02.apo.epson.net/prozou/html/document/view/313534220000000000000000000000000000/1389575</t>
  </si>
  <si>
    <t>C73-E-0501</t>
  </si>
  <si>
    <t>調達先管理基準</t>
  </si>
  <si>
    <t>https://ei-core-02.apo.epson.net/prozou/html/document/view/313534340000000000000000000000000000/1429786</t>
  </si>
  <si>
    <t>C73-F-0101</t>
  </si>
  <si>
    <t>初期流動管理基準</t>
  </si>
  <si>
    <t>https://ei-core-02.apo.epson.net/prozou/html/document/view/313534160000000000000000000000000000/1417289</t>
  </si>
  <si>
    <t>C73-F-0201</t>
  </si>
  <si>
    <t>送品認定会議運用基準</t>
  </si>
  <si>
    <t>https://ei-core-02.apo.epson.net/prozou/html/document/view/313534150000000000000000000000000000/1729471</t>
  </si>
  <si>
    <t>C73-F-0302</t>
  </si>
  <si>
    <t>ロット管理基準</t>
  </si>
  <si>
    <t>https://ei-core-02.apo.epson.net/prozou/html/document/view/313534460000000000000000000000000000/1417293</t>
  </si>
  <si>
    <t>C73-F-0303</t>
  </si>
  <si>
    <t>作業環境管理基準</t>
  </si>
  <si>
    <t>https://ei-core-02.apo.epson.net/prozou/html/document/view/313533920000000000000000000000000000/1417300</t>
  </si>
  <si>
    <t>C73-F-0306</t>
  </si>
  <si>
    <t>工程管理基準</t>
  </si>
  <si>
    <t>https://ei-core-02.apo.epson.net/prozou/html/document/view/313533880000000000000000000000000000/1417305</t>
  </si>
  <si>
    <t>C73-F-0307</t>
  </si>
  <si>
    <t>標準時間制定・管理基準</t>
  </si>
  <si>
    <t>https://ei-core-02.apo.epson.net/prozou/html/document/view/313533680000000000000000000000000000/1417316</t>
  </si>
  <si>
    <t>C73-F-0308</t>
  </si>
  <si>
    <t>標準時間（ST，LST）運用基準</t>
  </si>
  <si>
    <t>https://ei-core-02.apo.epson.net/prozou/html/document/view/313533660000000000000000000000000000/1417337</t>
  </si>
  <si>
    <t>C73-F-0311</t>
  </si>
  <si>
    <t>製造生産性管理基準</t>
  </si>
  <si>
    <t>https://ei-core-02.apo.epson.net/prozou/html/document/view/313533950000000000000000000000000000/1417347</t>
  </si>
  <si>
    <t>C73-F-0312</t>
  </si>
  <si>
    <t>加工標準時間（PLST）制定・管理・運用基準</t>
  </si>
  <si>
    <t>https://ei-core-02.apo.epson.net/prozou/html/document/view/313534050000000000000000000000000000/1417361</t>
  </si>
  <si>
    <t>C73-F-0401</t>
  </si>
  <si>
    <t>検査管理基準</t>
  </si>
  <si>
    <t>https://ei-core-02.apo.epson.net/prozou/html/document/view/313534230000000000000000000000000000/1406894</t>
  </si>
  <si>
    <t>C73-F-0402</t>
  </si>
  <si>
    <t>検査規格制定・改廃基準</t>
  </si>
  <si>
    <t>https://ei-core-02.apo.epson.net/prozou/html/document/view/313533430000000000000000000000000000/1407087</t>
  </si>
  <si>
    <t>C73-F-0403</t>
  </si>
  <si>
    <t>受入検査基準</t>
  </si>
  <si>
    <t>https://ei-core-02.apo.epson.net/prozou/html/document/view/313534580000000000000000000000000000/1417367</t>
  </si>
  <si>
    <t>C73-F-0405</t>
  </si>
  <si>
    <t>最終工程検査基準</t>
  </si>
  <si>
    <t>https://ei-core-02.apo.epson.net/prozou/html/document/view/313533420000000000000000000000000000/1417371</t>
  </si>
  <si>
    <t>C73-F-0406</t>
  </si>
  <si>
    <t>不適合品処理基準</t>
  </si>
  <si>
    <t>https://ei-core-02.apo.epson.net/prozou/html/document/view/313534590000000000000000000000000000/1406915</t>
  </si>
  <si>
    <t>C73-F-0407</t>
  </si>
  <si>
    <t>検査見本制定・改廃基準</t>
  </si>
  <si>
    <t>https://ei-core-02.apo.epson.net/prozou/html/document/view/313533410000000000000000000000000000/1407092</t>
  </si>
  <si>
    <t>C73-F-0408</t>
  </si>
  <si>
    <t>検査用ソフトウェア管理基準</t>
  </si>
  <si>
    <t>https://ei-core-02.apo.epson.net/prozou/html/document/view/313533590000000000000000000000000000/1417376</t>
  </si>
  <si>
    <t>C73-F-0409</t>
  </si>
  <si>
    <t>受入検査を委譲する基準</t>
  </si>
  <si>
    <t>https://ei-core-02.apo.epson.net/prozou/html/document/view/313533520000000000000000000000000000/1417381</t>
  </si>
  <si>
    <t>C73-F-0502</t>
  </si>
  <si>
    <t>工程異常処理基準</t>
  </si>
  <si>
    <t>https://ei-core-02.apo.epson.net/prozou/html/document/view/313534170000000000000000000000000000/1417383</t>
  </si>
  <si>
    <t>C73-F-0503</t>
  </si>
  <si>
    <t>部品クレーム処理基準</t>
  </si>
  <si>
    <t>https://ei-core-02.apo.epson.net/prozou/html/document/view/313533900000000000000000000000000000/1417386</t>
  </si>
  <si>
    <t>C73-F-0601</t>
  </si>
  <si>
    <t>製造設備日常点検基準</t>
  </si>
  <si>
    <t>https://ei-core-02.apo.epson.net/prozou/html/document/view/313534600000000000000000000000000000/1417389</t>
  </si>
  <si>
    <t>C73-F-0602</t>
  </si>
  <si>
    <t>計測器管理基準</t>
  </si>
  <si>
    <t>https://ei-core-02.apo.epson.net/prozou/html/document/view/313534360000000000000000000000000000/1383927</t>
  </si>
  <si>
    <t>C73-F-0702</t>
  </si>
  <si>
    <t>4M変更管理基準</t>
  </si>
  <si>
    <t>https://ei-core-02.apo.epson.net/prozou/html/document/view/313533970000000000000000000000000000/1417396</t>
  </si>
  <si>
    <t>C73-F-0901</t>
  </si>
  <si>
    <t>出荷検査基準</t>
  </si>
  <si>
    <t>https://ei-core-02.apo.epson.net/prozou/html/document/view/313533530000000000000000000000000000/1407100</t>
  </si>
  <si>
    <t>C73-F-1001</t>
  </si>
  <si>
    <t>客先支給品管理基準</t>
  </si>
  <si>
    <t>https://ei-core-02.apo.epson.net/prozou/html/document/view/313533770000000000000000000000000000/1429824</t>
  </si>
  <si>
    <t>C73-F-1002</t>
  </si>
  <si>
    <t>現品取扱・保管基準</t>
  </si>
  <si>
    <t>C73-G-0301</t>
  </si>
  <si>
    <t>市場クレーム処理基準</t>
  </si>
  <si>
    <t>C73-G-0401</t>
  </si>
  <si>
    <t>顧客満足調査・活用基準</t>
  </si>
  <si>
    <t>https://ei-core-02.apo.epson.net/prozou/html/document/view/313534290000000000000000000000000000/1591991</t>
  </si>
  <si>
    <t>C73-G-0601</t>
  </si>
  <si>
    <t>受注から出荷・売上計上手続き基準</t>
  </si>
  <si>
    <t>https://ei-core-02.apo.epson.net/prozou/html/document/view/313533600000000000000000000000000000/1429839</t>
  </si>
  <si>
    <t>C73-G-0702</t>
  </si>
  <si>
    <t>ASP販売価格決定基準</t>
  </si>
  <si>
    <t>https://ei-core-02.apo.epson.net/prozou/html/document/view/313533980000000000000000000000000000/1592001</t>
  </si>
  <si>
    <t>C73-G-0703</t>
  </si>
  <si>
    <t>事業部修理対応品の修理料金制定・改定基準</t>
  </si>
  <si>
    <t>https://ei-core-02.apo.epson.net/prozou/html/document/view/313533990000000000000000000000000000/1592006</t>
  </si>
  <si>
    <t>C73-G-0704</t>
  </si>
  <si>
    <t>サービス管理基準</t>
  </si>
  <si>
    <t>https://ei-core-02.apo.epson.net/prozou/html/document/view/313534020000000000000000000000000000/1407125</t>
  </si>
  <si>
    <t>C73-Z-0101</t>
  </si>
  <si>
    <t>総括レビュー運用基準</t>
  </si>
  <si>
    <t>https://ei-core-02.apo.epson.net/prozou/html/document/view/313534210000000000000000000000000000/1407129</t>
  </si>
  <si>
    <t>C73-Z-9902</t>
  </si>
  <si>
    <t>統計的手法管理基準</t>
  </si>
  <si>
    <t>https://ei-core-02.apo.epson.net/prozou/html/document/view/313533540000000000000000000000000000/1406927</t>
  </si>
  <si>
    <t>C73-B-0504</t>
  </si>
  <si>
    <t>https://ei-core-02.apo.epson.net/prozou/html/document/view/313534440000000000000000000000000000/1729467</t>
  </si>
  <si>
    <t>VD</t>
  </si>
  <si>
    <t>C73-F-0410</t>
  </si>
  <si>
    <t>https://ei-core-02.apo.epson.net/prozou/html/document/view/313534470000000000000000000000000000/1425123</t>
  </si>
  <si>
    <t>C73-A-1005</t>
  </si>
  <si>
    <t>ＦＭＥＡ運用基準</t>
  </si>
  <si>
    <t>https://ei-core-02.apo.epson.net/prozou/html/document/view/313533640000000000000000000000000000/1432309</t>
  </si>
  <si>
    <t>C73-F-0608</t>
  </si>
  <si>
    <t>設備初期管理基準</t>
  </si>
  <si>
    <t>https://ei-core-02.apo.epson.net/prozou/html/document/view/313533760000000000000000000000000000/1432345</t>
  </si>
  <si>
    <t>C73-F-0309</t>
  </si>
  <si>
    <t>https://ei-core-02.apo.epson.net/prozou/html/document/view/313534350000000000000000000000000000/1432329</t>
  </si>
  <si>
    <t>C73-D-0403</t>
  </si>
  <si>
    <t>工程フローチャート／コントロールプラン運用基準</t>
  </si>
  <si>
    <t>https://ei-core-02.apo.epson.net/prozou/html/document/view/313533850000000000000000000000000000/1432320</t>
  </si>
  <si>
    <t>C73-F-0310</t>
  </si>
  <si>
    <t>工程遵守度チェック運用基準</t>
  </si>
  <si>
    <t>https://ei-core-02.apo.epson.net/prozou/html/document/view/313533390000000000000000000000000000/1432336</t>
  </si>
  <si>
    <t>C73-F-0609</t>
  </si>
  <si>
    <t>保全管理基準</t>
  </si>
  <si>
    <t>https://ei-core-02.apo.epson.net/prozou/html/document/view/313533890000000000000000000000000000/1432352</t>
  </si>
  <si>
    <t>C73-E-0503</t>
  </si>
  <si>
    <t>購入仕様書管理基準</t>
  </si>
  <si>
    <t>https://ei-core-02.apo.epson.net/prozou/html/document/view/313533650000000000000000000000000000/1429801</t>
  </si>
  <si>
    <t>C73-C-0408</t>
  </si>
  <si>
    <t>https://ei-core-02.apo.epson.net/prozou/html/document/view/313534450000000000000000000000000000/1424991</t>
  </si>
  <si>
    <t>V-A03-001</t>
  </si>
  <si>
    <t>安全性_基本規格</t>
  </si>
  <si>
    <t>https://ei-core-02.apo.epson.net/prozou/html/document/view/313534900000000000000000000000000000/1</t>
  </si>
  <si>
    <t>EQS_VP</t>
  </si>
  <si>
    <t>V-A03-002</t>
  </si>
  <si>
    <t>安全性設計規格</t>
  </si>
  <si>
    <t>https://ei-core-02.apo.epson.net/prozou/html/document/view/313534920000000000000000000000000000/1</t>
  </si>
  <si>
    <t>V-A03-003</t>
  </si>
  <si>
    <t>製品本体評価規格</t>
  </si>
  <si>
    <t>https://ei-core-02.apo.epson.net/prozou/html/document/view/313534930000000000000000000000000000/1</t>
  </si>
  <si>
    <t>V-A03-006</t>
  </si>
  <si>
    <t>電源異常評価規格</t>
  </si>
  <si>
    <t>https://ei-core-02.apo.epson.net/prozou/html/document/view/313534790000000000000000000000000000/1</t>
  </si>
  <si>
    <t>V-A03-007</t>
  </si>
  <si>
    <t>誤使用時安全性評価規格</t>
  </si>
  <si>
    <t>https://ei-core-02.apo.epson.net/prozou/html/document/view/313534890000000000000000000000000000/1</t>
  </si>
  <si>
    <t>V-A03-008</t>
  </si>
  <si>
    <t>電池、電池周辺回路評価規格</t>
  </si>
  <si>
    <t>https://ei-core-02.apo.epson.net/prozou/html/document/view/313534800000000000000000000000000000/1</t>
  </si>
  <si>
    <t>V-A04-001</t>
  </si>
  <si>
    <t>法規制団体規格_総則</t>
  </si>
  <si>
    <t>https://ei-core-02.apo.epson.net/prozou/html/document/view/313534810000000000000000000000000000/1</t>
  </si>
  <si>
    <t>LAE</t>
  </si>
  <si>
    <t>V-A04-002</t>
  </si>
  <si>
    <t>法規制団体規格_製品安全性適合規制規格</t>
  </si>
  <si>
    <t>https://ei-core-02.apo.epson.net/prozou/html/document/view/313534820000000000000000000000000000/1</t>
  </si>
  <si>
    <t>V-A10-001</t>
  </si>
  <si>
    <t>表示類_総則</t>
  </si>
  <si>
    <t>https://ei-core-02.apo.epson.net/prozou/html/document/view/313534830000000000000000000000000000/1</t>
  </si>
  <si>
    <t>DISPLAY</t>
  </si>
  <si>
    <t>V-A10-002</t>
  </si>
  <si>
    <t>表示類_強度</t>
  </si>
  <si>
    <t>https://ei-core-02.apo.epson.net/prozou/html/document/view/313534840000000000000000000000000000/1</t>
  </si>
  <si>
    <t>V-A10-003</t>
  </si>
  <si>
    <t>表示類_安全表示</t>
  </si>
  <si>
    <t>https://ei-core-02.apo.epson.net/prozou/html/document/view/313534850000000000000000000000000000/1</t>
  </si>
  <si>
    <t>V-A11-001</t>
  </si>
  <si>
    <t>取扱説明書_総則</t>
  </si>
  <si>
    <t>https://ei-core-02.apo.epson.net/prozou/html/document/view/313534860000000000000000000000000000/1</t>
  </si>
  <si>
    <t>MANUAL</t>
  </si>
  <si>
    <t>V-A11-002</t>
  </si>
  <si>
    <t>取扱説明書_安全関係表示規格（日本国内向け）</t>
  </si>
  <si>
    <t>https://ei-core-02.apo.epson.net/prozou/html/document/view/313534870000000000000000000000000000/1</t>
  </si>
  <si>
    <t>V-G02-001</t>
  </si>
  <si>
    <t>梱包_基本性能_総則</t>
  </si>
  <si>
    <t>https://ei-core-02.apo.epson.net/prozou/html/document/view/313534880000000000000000000000000000/1</t>
  </si>
  <si>
    <t>PACKING</t>
  </si>
  <si>
    <t>V-G02-002</t>
  </si>
  <si>
    <t>梱包試験規格</t>
  </si>
  <si>
    <t>https://ei-core-02.apo.epson.net/prozou/html/document/view/313534940000000000000000000000000000/1</t>
  </si>
  <si>
    <t>V-G02-003</t>
  </si>
  <si>
    <t>梱包安全性規格</t>
  </si>
  <si>
    <t>https://ei-core-02.apo.epson.net/prozou/html/document/view/313534910000000000000000000000000000/1</t>
  </si>
  <si>
    <t>C01-01</t>
  </si>
  <si>
    <t>事業マネジメントプロセス基準</t>
  </si>
  <si>
    <t>https://ei-core-02.apo.epson.net/prozou/html/document/view/313534370000000000000000000000000000/1375032</t>
  </si>
  <si>
    <t>OTHER</t>
  </si>
  <si>
    <t>C01-04</t>
  </si>
  <si>
    <t>予算管理基準</t>
  </si>
  <si>
    <t>https://ei-core-02.apo.epson.net/prozou/html/document/view/313534060000000000000000000000000000/1591856</t>
  </si>
  <si>
    <t>C01-05</t>
  </si>
  <si>
    <t>事業リスク管理基準</t>
  </si>
  <si>
    <t>https://ei-core-02.apo.epson.net/prozou/html/document/view/313533690000000000000000000000000000/1591863</t>
  </si>
  <si>
    <t>C01-07</t>
  </si>
  <si>
    <t>原価管理基準</t>
  </si>
  <si>
    <t>https://ei-core-02.apo.epson.net/prozou/html/document/view/313534030000000000000000000000000000/1591868</t>
  </si>
  <si>
    <t>C01-08</t>
  </si>
  <si>
    <t>https://ei-core-02.apo.epson.net/prozou/html/document/view/313533480000000000000000000000000000/1591875</t>
  </si>
  <si>
    <t>C02-01</t>
  </si>
  <si>
    <t>事業部独自報奨制度運用基準</t>
  </si>
  <si>
    <t>https://ei-core-02.apo.epson.net/prozou/html/document/view/313533810000000000000000000000000000/1591883</t>
  </si>
  <si>
    <t>C0A-03</t>
  </si>
  <si>
    <t>貿易管理基準</t>
  </si>
  <si>
    <t>https://ei-core-02.apo.epson.net/prozou/html/document/view/313534520000000000000000000000000000/1384015</t>
  </si>
  <si>
    <t>C12-01</t>
  </si>
  <si>
    <t>標準類管理基準</t>
  </si>
  <si>
    <t>https://ei-core-02.apo.epson.net/prozou/html/document/view/313533460000000000000000000000000000/1432220</t>
  </si>
  <si>
    <t>C12-03</t>
  </si>
  <si>
    <t>事業部基準管理基準</t>
  </si>
  <si>
    <t>https://ei-core-02.apo.epson.net/prozou/html/document/view/313533570000000000000000000000000000/1384095</t>
  </si>
  <si>
    <t>C12-04</t>
  </si>
  <si>
    <t>文書管理基準</t>
  </si>
  <si>
    <t>https://ei-core-02.apo.epson.net/prozou/html/document/view/313534680000000000000000000000000000/1852015</t>
  </si>
  <si>
    <t>C12-05</t>
  </si>
  <si>
    <t>業務処理基準管理基準</t>
  </si>
  <si>
    <t>https://ei-core-02.apo.epson.net/prozou/html/document/view/313534010000000000000000000000000000/1591894</t>
  </si>
  <si>
    <t>C25-02</t>
  </si>
  <si>
    <t>教育・訓練管理基準</t>
  </si>
  <si>
    <t>https://ei-core-02.apo.epson.net/prozou/html/document/view/313534530000000000000000000000000000/1432256</t>
  </si>
  <si>
    <t>C31-01</t>
  </si>
  <si>
    <t>レーザー光源プロジェクター作業安全管理基準</t>
  </si>
  <si>
    <t>https://ei-core-02.apo.epson.net/prozou/html/document/view/313534310000000000000000000000000000/1424919</t>
  </si>
  <si>
    <t>C63-01</t>
  </si>
  <si>
    <t>市場・技術動向調査基準</t>
  </si>
  <si>
    <t>https://ei-core-02.apo.epson.net/prozou/html/document/view/313533790000000000000000000000000000/1432119</t>
  </si>
  <si>
    <t>C74-01</t>
  </si>
  <si>
    <t>E-KAIZEN活動_管理基準</t>
  </si>
  <si>
    <t>https://ei-core-02.apo.epson.net/prozou/html/document/view/313533470000000000000000000000000000/1592017</t>
  </si>
  <si>
    <t>C81-06</t>
  </si>
  <si>
    <t>例外作業処理基準</t>
  </si>
  <si>
    <t>https://ei-core-02.apo.epson.net/prozou/html/document/view/313533910000000000000000000000000000/1429848</t>
  </si>
  <si>
    <t>C81-07</t>
  </si>
  <si>
    <t>購買に関する取引単価決定基準</t>
  </si>
  <si>
    <t>https://ei-core-02.apo.epson.net/prozou/html/document/view/313534490000000000000000000000000000/1429857</t>
  </si>
  <si>
    <t>C81-08</t>
  </si>
  <si>
    <t>加工外注に関する取引単価決定基準</t>
  </si>
  <si>
    <t>https://ei-core-02.apo.epson.net/prozou/html/document/view/313533610000000000000000000000000000/1429864</t>
  </si>
  <si>
    <t>C81-09</t>
  </si>
  <si>
    <t>発注管理基準</t>
  </si>
  <si>
    <t>https://ei-core-02.apo.epson.net/prozou/html/document/view/313534630000000000000000000000000000/1429869</t>
  </si>
  <si>
    <t>C81-13</t>
  </si>
  <si>
    <t>棚卸資産払出基準</t>
  </si>
  <si>
    <t>https://ei-core-02.apo.epson.net/prozou/html/document/view/313534660000000000000000000000000000/1429878</t>
  </si>
  <si>
    <t>C81-14</t>
  </si>
  <si>
    <t>現品支給基準</t>
  </si>
  <si>
    <t>https://ei-core-02.apo.epson.net/prozou/html/document/view/313533860000000000000000000000000000/1429890</t>
  </si>
  <si>
    <t>C81-19</t>
  </si>
  <si>
    <t>損害賠償請求処理基準</t>
  </si>
  <si>
    <t>https://ei-core-02.apo.epson.net/prozou/html/document/view/313533780000000000000000000000000000/1429904</t>
  </si>
  <si>
    <t>C81-20</t>
  </si>
  <si>
    <t>https://ei-core-02.apo.epson.net/prozou/html/document/view/313534500000000000000000000000000000/1429914</t>
  </si>
  <si>
    <t>C81-25</t>
  </si>
  <si>
    <t>棚卸実施基準</t>
  </si>
  <si>
    <t>https://ei-core-02.apo.epson.net/prozou/html/document/view/313534650000000000000000000000000000/1429922</t>
  </si>
  <si>
    <t>C81-26</t>
  </si>
  <si>
    <t>棚卸資産稟議廃却手続処理基準</t>
  </si>
  <si>
    <t>https://ei-core-02.apo.epson.net/prozou/html/document/view/313533620000000000000000000000000000/1429947</t>
  </si>
  <si>
    <t>C81-47</t>
  </si>
  <si>
    <t>海外現法への業務委託基準</t>
  </si>
  <si>
    <t>https://ei-core-02.apo.epson.net/prozou/html/document/view/313533870000000000000000000000000000/1429969</t>
  </si>
  <si>
    <t>C83-01</t>
  </si>
  <si>
    <t>設備選定及び調達管理基準</t>
  </si>
  <si>
    <t>https://ei-core-02.apo.epson.net/prozou/html/document/view/313534510000000000000000000000000000/1429984</t>
  </si>
  <si>
    <t>C14-01</t>
  </si>
  <si>
    <t>管理資産棚卸実施基準</t>
  </si>
  <si>
    <t>https://ei-core-02.apo.epson.net/prozou/html/document/view/313533930000000000000000000000000000/1591910</t>
  </si>
  <si>
    <t>C14-02</t>
  </si>
  <si>
    <t>管理資産遊休登録基準</t>
  </si>
  <si>
    <t>https://ei-core-02.apo.epson.net/prozou/html/document/view/313533700000000000000000000000000000/1591918</t>
  </si>
  <si>
    <t>C14-03</t>
  </si>
  <si>
    <t>管理資産貸与実施基準</t>
  </si>
  <si>
    <t>https://ei-core-02.apo.epson.net/prozou/html/document/view/313533820000000000000000000000000000/1591928</t>
  </si>
  <si>
    <t>C60-03</t>
  </si>
  <si>
    <t>製品価格決定基準</t>
  </si>
  <si>
    <t>https://ei-core-02.apo.epson.net/prozou/html/document/view/313533960000000000000000000000000000/1614810</t>
  </si>
  <si>
    <t>C60-10</t>
  </si>
  <si>
    <t>LCP_Champion_unit運用管理基準</t>
  </si>
  <si>
    <t>https://ei-core-02.apo.epson.net/prozou/html/document/view/313533630000000000000000000000000000/1416837</t>
  </si>
  <si>
    <t>C70-01</t>
  </si>
  <si>
    <t>「技術資料」発行・管理基準</t>
  </si>
  <si>
    <t>https://ei-core-02.apo.epson.net/prozou/html/document/view/313534380000000000000000000000000000/1416819</t>
  </si>
  <si>
    <t>C72-06</t>
  </si>
  <si>
    <t>金型認定基準</t>
  </si>
  <si>
    <t>https://ei-core-02.apo.epson.net/prozou/html/document/view/313533710000000000000000000000000000/1416856</t>
  </si>
  <si>
    <t>C72-07</t>
  </si>
  <si>
    <t>金型更新運用基準</t>
  </si>
  <si>
    <t>https://ei-core-02.apo.epson.net/prozou/html/document/view/313533720000000000000000000000000000/1416871</t>
  </si>
  <si>
    <t>C81-48</t>
  </si>
  <si>
    <t>生産計画策定基準</t>
  </si>
  <si>
    <t>https://ei-core-02.apo.epson.net/prozou/html/document/view/313534000000000000000000000000000000/1429975</t>
  </si>
  <si>
    <t>C60-11</t>
  </si>
  <si>
    <t>販売価格決定基準</t>
  </si>
  <si>
    <t>https://ei-core-02.apo.epson.net/prozou/html/document/view/313533560000000000000000000000000000/1413787</t>
  </si>
  <si>
    <t>C81-46</t>
  </si>
  <si>
    <t>ディスコン処理基準</t>
  </si>
  <si>
    <t>https://ei-core-02.apo.epson.net/prozou/html/document/view/313534640000000000000000000000000000/1429959</t>
  </si>
  <si>
    <t>GA-0001</t>
  </si>
  <si>
    <t>CSI調査時の顧客個人情報取り扱い_業務処理基準</t>
  </si>
  <si>
    <t>https://ei-core-02.apo.epson.net/prozou/html/document/view/313540270000000000000000000000000000/1413314</t>
  </si>
  <si>
    <t>OPS_VP</t>
  </si>
  <si>
    <t>STORATEGY</t>
  </si>
  <si>
    <t>GB-0016</t>
  </si>
  <si>
    <t>部門_要素開発プロセス基準</t>
  </si>
  <si>
    <t>https://ei-core-02.apo.epson.net/prozou/html/document/view/313540560000000000000000000000000000/1855288</t>
  </si>
  <si>
    <t>DEVELOP</t>
  </si>
  <si>
    <t>GB-0017</t>
  </si>
  <si>
    <t>部門_薬品類の保管・管理基準</t>
  </si>
  <si>
    <t>https://ei-core-02.apo.epson.net/prozou/html/document/view/313540590000000000000000000000000000/1</t>
  </si>
  <si>
    <t>GB-0018</t>
  </si>
  <si>
    <t>部門_計測器管理基準</t>
  </si>
  <si>
    <t>https://ei-core-02.apo.epson.net/prozou/html/document/view/313540800000000000000000000000000000/1</t>
  </si>
  <si>
    <t>GB-0019</t>
  </si>
  <si>
    <t>薬品取扱いにおける緊急時の対応手順基準</t>
  </si>
  <si>
    <t>https://ei-core-02.apo.epson.net/prozou/html/document/view/313540580000000000000000000000000000/1</t>
  </si>
  <si>
    <t>GB-0022</t>
  </si>
  <si>
    <t>部門_ヒトを対象とする検証に関するガイドライン</t>
  </si>
  <si>
    <t>https://ei-core-02.apo.epson.net/prozou/html/document/view/313541290000000000000000000000000000/1</t>
  </si>
  <si>
    <t>GB-0023</t>
  </si>
  <si>
    <t>部門_ヒトを対象とした検証_個人情報管理基準</t>
  </si>
  <si>
    <t>https://ei-core-02.apo.epson.net/prozou/html/document/view/b6d69128-f4ce-43b6-a1a7-42305509f4a8/1350460</t>
  </si>
  <si>
    <t>GB-0021</t>
  </si>
  <si>
    <t>021_部門_要素開発個人情報管理基準</t>
  </si>
  <si>
    <t>https://ei-core-02.apo.epson.net/prozou/html/document/view/313540520000000000000000000000000000/1351075</t>
  </si>
  <si>
    <t>GC-0001</t>
  </si>
  <si>
    <t>ソフトウェアβリリース判定基準</t>
  </si>
  <si>
    <t>https://ei-core-02.apo.epson.net/prozou/html/document/view/313536190000000000000000000000000000/1</t>
  </si>
  <si>
    <t>PLANNNING_DESIGN</t>
  </si>
  <si>
    <t>GC-0002</t>
  </si>
  <si>
    <t>トリアージミーティング運用基準</t>
  </si>
  <si>
    <t>https://ei-core-02.apo.epson.net/prozou/html/document/view/313536200000000000000000000000000000/1</t>
  </si>
  <si>
    <t>GC-0003</t>
  </si>
  <si>
    <t>ソフトウェア制定判断基準</t>
  </si>
  <si>
    <t>https://ei-core-02.apo.epson.net/prozou/html/document/view/313536210000000000000000000000000000/1</t>
  </si>
  <si>
    <t>GC-0006</t>
  </si>
  <si>
    <t>情報セキュリティー業務処理基準</t>
  </si>
  <si>
    <t>https://ei-core-02.apo.epson.net/prozou/html/document/view/313536300000000000000000000000000000/1</t>
  </si>
  <si>
    <t>GC-0007</t>
  </si>
  <si>
    <t>周辺機器業務品質保証体系</t>
  </si>
  <si>
    <t>https://ei-core-02.apo.epson.net/prozou/html/document/view/313536910000000000000000000000000000/1</t>
  </si>
  <si>
    <t>GC-0008</t>
  </si>
  <si>
    <t>製品本体および梱包ラベル設計の業務処理基準</t>
  </si>
  <si>
    <t>https://ei-core-02.apo.epson.net/prozou/html/document/view/313540100000000000000000000000000000/1</t>
  </si>
  <si>
    <t>GC-0009</t>
  </si>
  <si>
    <t>設計仕様書制定_業務処理標準</t>
  </si>
  <si>
    <t>https://ei-core-02.apo.epson.net/prozou/html/document/view/313538100000000000000000000000000000/1</t>
  </si>
  <si>
    <t>GC-0010</t>
  </si>
  <si>
    <t>ＬＣＰ図面番号管理基準</t>
  </si>
  <si>
    <t>https://ei-core-02.apo.epson.net/prozou/html/document/view/313537040000000000000000000000000000/1</t>
  </si>
  <si>
    <t>GC-0011</t>
  </si>
  <si>
    <t>温度制御パラメータ制定_業務処理基準</t>
  </si>
  <si>
    <t>https://ei-core-02.apo.epson.net/prozou/html/document/view/313540260000000000000000000000000000/1</t>
  </si>
  <si>
    <t>GC-0012</t>
  </si>
  <si>
    <t>設計部品表制定_業務処理標準</t>
  </si>
  <si>
    <t>https://ei-core-02.apo.epson.net/prozou/html/document/view/313539280000000000000000000000000000/1</t>
  </si>
  <si>
    <t>GC-0013</t>
  </si>
  <si>
    <t>製品型番運用基準(LCP製品)</t>
  </si>
  <si>
    <t>https://ei-core-02.apo.epson.net/prozou/html/document/view/313540310000000000000000000000000000/1</t>
  </si>
  <si>
    <t>GC-0015</t>
  </si>
  <si>
    <t>設計変更・金型修正依頼書発行_業務処理基準</t>
  </si>
  <si>
    <t>https://ei-core-02.apo.epson.net/prozou/html/document/view/313539270000000000000000000000000000/1</t>
  </si>
  <si>
    <t>GC-0017</t>
  </si>
  <si>
    <t>電装部品の設計図面作成に関する業務処理基準</t>
  </si>
  <si>
    <t>https://ei-core-02.apo.epson.net/prozou/html/document/view/313539240000000000000000000000000000/1</t>
  </si>
  <si>
    <t>GC-0018</t>
  </si>
  <si>
    <t>回路指示図作成に関する業務処理基準</t>
  </si>
  <si>
    <t>https://ei-core-02.apo.epson.net/prozou/html/document/view/313537050000000000000000000000000000/1</t>
  </si>
  <si>
    <t>GC-0019</t>
  </si>
  <si>
    <t>製品外観仕様書_業務処理基準</t>
  </si>
  <si>
    <t>https://ei-core-02.apo.epson.net/prozou/html/document/view/313536860000000000000000000000000000/1</t>
  </si>
  <si>
    <t>GC-0021</t>
  </si>
  <si>
    <t>カスタムＩＣ_品名コード(型番)運用基準</t>
  </si>
  <si>
    <t>https://ei-core-02.apo.epson.net/prozou/html/document/view/313536750000000000000000000000000000/1</t>
  </si>
  <si>
    <t>LCP</t>
  </si>
  <si>
    <t>GC-0022</t>
  </si>
  <si>
    <t>周辺機器ESLの4M（設計）変更申請書処理基準</t>
  </si>
  <si>
    <t>https://ei-core-02.apo.epson.net/prozou/html/document/view/313536920000000000000000000000000000/1</t>
  </si>
  <si>
    <t>GC-0023</t>
  </si>
  <si>
    <t>Google_Playフィードバックメールの顧客個人情報取り扱い業務処理基準</t>
  </si>
  <si>
    <t>https://ei-core-02.apo.epson.net/prozou/html/document/view/932f85a8-e38b-4050-830b-0091a77b5810/1420075</t>
  </si>
  <si>
    <t>GC-0024</t>
  </si>
  <si>
    <t>千歳S-MLA_レンズパラメータ運用基準</t>
  </si>
  <si>
    <t>https://ei-core-02.apo.epson.net/prozou/html/document/view/313539210000000000000000000000000000/1</t>
  </si>
  <si>
    <t>GC-0025</t>
  </si>
  <si>
    <t>TV特性(LCD5200)</t>
  </si>
  <si>
    <t>https://ei-core-02.apo.epson.net/prozou/html/document/view/313537340000000000000000000000000000/1</t>
  </si>
  <si>
    <t>GC-0029</t>
  </si>
  <si>
    <t>LCCOMズレ</t>
  </si>
  <si>
    <t>https://ei-core-02.apo.epson.net/prozou/html/document/view/313537330000000000000000000000000000/1</t>
  </si>
  <si>
    <t>プロジェクターに限定</t>
    <rPh sb="8" eb="10">
      <t>ゲンテイ</t>
    </rPh>
    <phoneticPr fontId="1"/>
  </si>
  <si>
    <t>GC-0030</t>
  </si>
  <si>
    <t>上下ゴースト</t>
  </si>
  <si>
    <t>https://ei-core-02.apo.epson.net/prozou/html/document/view/313537430000000000000000000000000000/1</t>
  </si>
  <si>
    <t>GC-0031</t>
  </si>
  <si>
    <t>透過率コントラスト</t>
  </si>
  <si>
    <t>https://ei-core-02.apo.epson.net/prozou/html/document/view/313539480000000000000000000000000000/1</t>
  </si>
  <si>
    <t>GC-0032</t>
  </si>
  <si>
    <t>白線上黒線</t>
  </si>
  <si>
    <t>https://ei-core-02.apo.epson.net/prozou/html/document/view/313537370000000000000000000000000000/1</t>
  </si>
  <si>
    <t>GC-0033</t>
  </si>
  <si>
    <t>ドメイン数値化</t>
  </si>
  <si>
    <t>https://ei-core-02.apo.epson.net/prozou/html/document/view/313537240000000000000000000000000000/1</t>
  </si>
  <si>
    <t>GC-0034</t>
  </si>
  <si>
    <t>入力端子容量</t>
  </si>
  <si>
    <t>https://ei-core-02.apo.epson.net/prozou/html/document/view/313537190000000000000000000000000000/1</t>
  </si>
  <si>
    <t>GC-0035</t>
  </si>
  <si>
    <t>液晶応答速度(LCD5200)</t>
  </si>
  <si>
    <t>https://ei-core-02.apo.epson.net/prozou/html/document/view/313537230000000000000000000000000000/1</t>
  </si>
  <si>
    <t>GC-0036</t>
  </si>
  <si>
    <t>静止画ドメイン</t>
  </si>
  <si>
    <t>https://ei-core-02.apo.epson.net/prozou/html/document/view/313537360000000000000000000000000000/1</t>
  </si>
  <si>
    <t>GC-0039</t>
  </si>
  <si>
    <t>動画ドメイン（手動測定）</t>
  </si>
  <si>
    <t>https://ei-core-02.apo.epson.net/prozou/html/document/view/313537350000000000000000000000000000/1595552</t>
  </si>
  <si>
    <t>GC-0040</t>
  </si>
  <si>
    <t>CV特性</t>
  </si>
  <si>
    <t>https://ei-core-02.apo.epson.net/prozou/html/document/view/313537170000000000000000000000000000/1</t>
  </si>
  <si>
    <t>GC-0041</t>
  </si>
  <si>
    <t>消費電流･消費電力</t>
  </si>
  <si>
    <t>https://ei-core-02.apo.epson.net/prozou/html/document/view/313537200000000000000000000000000000/1</t>
  </si>
  <si>
    <t>GC-0042</t>
  </si>
  <si>
    <t>絶対最大定格</t>
  </si>
  <si>
    <t>https://ei-core-02.apo.epson.net/prozou/html/document/view/313537210000000000000000000000000000/1</t>
  </si>
  <si>
    <t>GC-0049</t>
  </si>
  <si>
    <t>クロストーク</t>
  </si>
  <si>
    <t>https://ei-core-02.apo.epson.net/prozou/html/document/view/313537610000000000000000000000000000/1</t>
  </si>
  <si>
    <t>GC-0050</t>
  </si>
  <si>
    <t>投影フリッカー</t>
  </si>
  <si>
    <t>https://ei-core-02.apo.epson.net/prozou/html/document/view/313537620000000000000000000000000000/1</t>
  </si>
  <si>
    <t>GC-0051</t>
  </si>
  <si>
    <t>系列ムラ</t>
  </si>
  <si>
    <t>https://ei-core-02.apo.epson.net/prozou/html/document/view/313537270000000000000000000000000000/1</t>
  </si>
  <si>
    <t>GC-0052</t>
  </si>
  <si>
    <t>動画縦帯</t>
  </si>
  <si>
    <t>https://ei-core-02.apo.epson.net/prozou/html/document/view/313537220000000000000000000000000000/1</t>
  </si>
  <si>
    <t>GC-0058</t>
  </si>
  <si>
    <t>アプリケーションCD同梱業務処理基準</t>
  </si>
  <si>
    <t>https://ei-core-02.apo.epson.net/prozou/html/document/view/313537100000000000000000000000000000/1</t>
  </si>
  <si>
    <t>GC-0060</t>
  </si>
  <si>
    <t>光リーク画素ムラ</t>
  </si>
  <si>
    <t>https://ei-core-02.apo.epson.net/prozou/html/document/view/313537530000000000000000000000000000/1</t>
  </si>
  <si>
    <t>GC-0061</t>
  </si>
  <si>
    <t>表示ムラ</t>
  </si>
  <si>
    <t>https://ei-core-02.apo.epson.net/prozou/html/document/view/313537870000000000000000000000000000/1</t>
  </si>
  <si>
    <t>GC-0062</t>
  </si>
  <si>
    <t>周辺光再反射</t>
  </si>
  <si>
    <t>https://ei-core-02.apo.epson.net/prozou/html/document/view/313537550000000000000000000000000000/1</t>
  </si>
  <si>
    <t>GC-0063</t>
  </si>
  <si>
    <t>井桁ムラ</t>
  </si>
  <si>
    <t>https://ei-core-02.apo.epson.net/prozou/html/document/view/313537570000000000000000000000000000/1</t>
  </si>
  <si>
    <t>GC-0064</t>
  </si>
  <si>
    <t>フックけられ</t>
  </si>
  <si>
    <t>https://ei-core-02.apo.epson.net/prozou/html/document/view/313537580000000000000000000000000000/1</t>
  </si>
  <si>
    <t>GC-0065</t>
  </si>
  <si>
    <t>左右画素ムラ</t>
  </si>
  <si>
    <t>https://ei-core-02.apo.epson.net/prozou/html/document/view/313537540000000000000000000000000000/1</t>
  </si>
  <si>
    <t>GC-0066</t>
  </si>
  <si>
    <t>配向性画素ムラ</t>
  </si>
  <si>
    <t>https://ei-core-02.apo.epson.net/prozou/html/document/view/313537560000000000000000000000000000/1</t>
  </si>
  <si>
    <t>GC-0067</t>
  </si>
  <si>
    <t>パネル表面温度</t>
  </si>
  <si>
    <t>https://ei-core-02.apo.epson.net/prozou/html/document/view/313537710000000000000000000000000000/1</t>
  </si>
  <si>
    <t>GC-0071</t>
  </si>
  <si>
    <t>ゴースト・VDDXマージン</t>
  </si>
  <si>
    <t>https://ei-core-02.apo.epson.net/prozou/html/document/view/313537250000000000000000000000000000/1</t>
  </si>
  <si>
    <t>GC-0072</t>
  </si>
  <si>
    <t>帯ムラマージン</t>
  </si>
  <si>
    <t>https://ei-core-02.apo.epson.net/prozou/html/document/view/313537260000000000000000000000000000/1</t>
  </si>
  <si>
    <t>GC-0073</t>
  </si>
  <si>
    <t>高温画素ズレ</t>
  </si>
  <si>
    <t>https://ei-core-02.apo.epson.net/prozou/html/document/view/313537280000000000000000000000000000/1</t>
  </si>
  <si>
    <t>GC-0074</t>
  </si>
  <si>
    <t>FPC斜め引っ張り</t>
  </si>
  <si>
    <t>https://ei-core-02.apo.epson.net/prozou/html/document/view/313537290000000000000000000000000000/1</t>
  </si>
  <si>
    <t>GC-0075</t>
  </si>
  <si>
    <t>投影照度_F値振り</t>
  </si>
  <si>
    <t>https://ei-core-02.apo.epson.net/prozou/html/document/view/313537300000000000000000000000000000/1</t>
  </si>
  <si>
    <t>GC-0076</t>
  </si>
  <si>
    <t>投影照度_左右照度比</t>
  </si>
  <si>
    <t>https://ei-core-02.apo.epson.net/prozou/html/document/view/313537310000000000000000000000000000/1</t>
  </si>
  <si>
    <t>GC-0077</t>
  </si>
  <si>
    <t>千歳D-MLA_レンズパラメータ運用基準</t>
  </si>
  <si>
    <t>https://ei-core-02.apo.epson.net/prozou/html/document/view/313537320000000000000000000000000000/1</t>
  </si>
  <si>
    <t>GC-0078</t>
  </si>
  <si>
    <t>投影焼付き(自動測定）</t>
  </si>
  <si>
    <t>https://ei-core-02.apo.epson.net/prozou/html/document/view/313537380000000000000000000000000000/1</t>
  </si>
  <si>
    <t>GC-0079</t>
  </si>
  <si>
    <t>GC-0079（デザイン）顧客個人情報管理基準</t>
  </si>
  <si>
    <t>https://ei-core-02.apo.epson.net/prozou/html/document/view/313539630000000000000000000000000000/1</t>
  </si>
  <si>
    <t>GC-0080</t>
  </si>
  <si>
    <t>上下輝度ムラ</t>
  </si>
  <si>
    <t>https://ei-core-02.apo.epson.net/prozou/html/document/view/313537410000000000000000000000000000/1</t>
  </si>
  <si>
    <t>GC-0081</t>
  </si>
  <si>
    <t>(デザイン）現品管理品管理基準</t>
  </si>
  <si>
    <t>https://ei-core-02.apo.epson.net/prozou/html/document/view/313537440000000000000000000000000000/1</t>
  </si>
  <si>
    <t>GC-0082</t>
  </si>
  <si>
    <t>(デザイン）職場管理品管理基準</t>
  </si>
  <si>
    <t>https://ei-core-02.apo.epson.net/prozou/html/document/view/313537740000000000000000000000000000/1</t>
  </si>
  <si>
    <t>GC-0083</t>
  </si>
  <si>
    <t>GC-0083（デザイン）外部委託業務の個人情報運用基準</t>
  </si>
  <si>
    <t>https://ei-core-02.apo.epson.net/prozou/html/document/view/313539640000000000000000000000000000/1</t>
  </si>
  <si>
    <t>GC-0084</t>
  </si>
  <si>
    <t>（デザイン）情報資産管理基準</t>
  </si>
  <si>
    <t>https://ei-core-02.apo.epson.net/prozou/html/document/view/313537450000000000000000000000000000/1</t>
  </si>
  <si>
    <t>GC-0085</t>
  </si>
  <si>
    <t>GC-0085(デザイン)外観３Dデータ管理基準</t>
  </si>
  <si>
    <t>https://ei-core-02.apo.epson.net/prozou/html/document/view/313537990000000000000000000000000000/1</t>
  </si>
  <si>
    <t>GC-0087</t>
  </si>
  <si>
    <t>GC-0087(デザイン)意匠出願処理基準</t>
  </si>
  <si>
    <t>https://ei-core-02.apo.epson.net/prozou/html/document/view/313537500000000000000000000000000000/1</t>
  </si>
  <si>
    <t>GC-0088</t>
  </si>
  <si>
    <t>（デザイン）CUD認証対応基準</t>
  </si>
  <si>
    <t>https://ei-core-02.apo.epson.net/prozou/html/document/view/313539570000000000000000000000000000/1</t>
  </si>
  <si>
    <t>GC-0089</t>
  </si>
  <si>
    <t>（デザイン）版下作成業務推進基準（ID編）</t>
  </si>
  <si>
    <t>https://ei-core-02.apo.epson.net/prozou/html/document/view/313537600000000000000000000000000000/1452976</t>
  </si>
  <si>
    <t>GC-0090</t>
  </si>
  <si>
    <t>（デザイン）輸出入手続き基準</t>
  </si>
  <si>
    <t>https://ei-core-02.apo.epson.net/prozou/html/document/view/313537640000000000000000000000000000/1452788</t>
  </si>
  <si>
    <t>GC-0092</t>
  </si>
  <si>
    <t>（デザイン）モック管理品管理基準</t>
  </si>
  <si>
    <t>https://ei-core-02.apo.epson.net/prozou/html/document/view/313537760000000000000000000000000000/1453097</t>
  </si>
  <si>
    <t>GC-0093</t>
  </si>
  <si>
    <t>完成体評価</t>
  </si>
  <si>
    <t>https://ei-core-02.apo.epson.net/prozou/html/document/view/313537790000000000000000000000000000/1</t>
  </si>
  <si>
    <t>プロジェクターにのみ限定</t>
    <rPh sb="10" eb="12">
      <t>ゲンテイ</t>
    </rPh>
    <phoneticPr fontId="1"/>
  </si>
  <si>
    <t>GC-0094</t>
  </si>
  <si>
    <t>技術情報サイトへの回答基準</t>
  </si>
  <si>
    <t>https://ei-core-02.apo.epson.net/prozou/html/document/view/313537860000000000000000000000000000/1</t>
  </si>
  <si>
    <t>HMD</t>
  </si>
  <si>
    <t>GC-0095</t>
  </si>
  <si>
    <t>製品外観図制定_業務処理標準</t>
  </si>
  <si>
    <t>https://ei-core-02.apo.epson.net/prozou/html/document/view/313539830000000000000000000000000000/1862842</t>
  </si>
  <si>
    <t>GC-0096</t>
  </si>
  <si>
    <t>[ライトバルブ]_耐光性寿命推定プロセス</t>
  </si>
  <si>
    <t>https://ei-core-02.apo.epson.net/prozou/html/document/view/313539530000000000000000000000000000/1</t>
  </si>
  <si>
    <t>GC-0097</t>
  </si>
  <si>
    <t>デザインレビュー資料保管業務処理基準_</t>
  </si>
  <si>
    <t>https://ei-core-02.apo.epson.net/prozou/html/document/view/313540610000000000000000000000000000/1</t>
  </si>
  <si>
    <t>GC-0098</t>
  </si>
  <si>
    <t>(メカ設計）要素TDR運用基準(TDR1~TDR2)</t>
  </si>
  <si>
    <t>https://ei-core-02.apo.epson.net/prozou/html/document/view/313539840000000000000000000000000000/1784190</t>
  </si>
  <si>
    <t>GC-0099</t>
  </si>
  <si>
    <t>Agentログ取り扱い業務処理基準</t>
  </si>
  <si>
    <t>https://ei-core-02.apo.epson.net/prozou/html/document/view/313538300000000000000000000000000000/1</t>
  </si>
  <si>
    <t>GC-0100</t>
  </si>
  <si>
    <t>新製品立ち上げ手順（基板）</t>
  </si>
  <si>
    <t>https://ei-core-02.apo.epson.net/prozou/html/document/view/313540130000000000000000000000000000/1</t>
  </si>
  <si>
    <t>GC-0102</t>
  </si>
  <si>
    <t>（デザイン）製品本体ロゴ表記基準</t>
  </si>
  <si>
    <t>https://ei-core-02.apo.epson.net/prozou/html/document/view/313538210000000000000000000000000000/1</t>
  </si>
  <si>
    <t>GC-0103</t>
  </si>
  <si>
    <t>アライアンス系認証業務処理基準</t>
  </si>
  <si>
    <t>https://ei-core-02.apo.epson.net/prozou/html/document/view/313538890000000000000000000000000000/1</t>
  </si>
  <si>
    <t>ISO文書では無いのに、なぜISO内部監査にて指摘されているのか？</t>
    <rPh sb="3" eb="5">
      <t>ブンショ</t>
    </rPh>
    <rPh sb="7" eb="8">
      <t>ナ</t>
    </rPh>
    <rPh sb="17" eb="21">
      <t>ナイブカンサ</t>
    </rPh>
    <rPh sb="23" eb="25">
      <t>シテキ</t>
    </rPh>
    <phoneticPr fontId="1"/>
  </si>
  <si>
    <t>GC-0104</t>
  </si>
  <si>
    <t>（デザイン）外装デザインガイドライン</t>
  </si>
  <si>
    <t>https://ei-core-02.apo.epson.net/prozou/html/document/view/313539130000000000000000000000000000/1</t>
  </si>
  <si>
    <t>GC-0106</t>
  </si>
  <si>
    <t>[ﾗｲﾄﾊﾞﾙﾌﾞ]耐光性評価試験_業務処理基準</t>
  </si>
  <si>
    <t>https://ei-core-02.apo.epson.net/prozou/html/document/view/313539060000000000000000000000000000/1</t>
  </si>
  <si>
    <t>GC-0107</t>
  </si>
  <si>
    <t>ソフトウェア機能実装判定会議運用基準</t>
  </si>
  <si>
    <t>https://ei-core-02.apo.epson.net/prozou/html/document/view/313538620000000000000000000000000000/1</t>
  </si>
  <si>
    <t>GC-0108</t>
  </si>
  <si>
    <t>（メカ設計）先行開発プロセス基準</t>
  </si>
  <si>
    <t>https://ei-core-02.apo.epson.net/prozou/html/document/view/313538640000000000000000000000000000/1</t>
  </si>
  <si>
    <t>GC-0109</t>
  </si>
  <si>
    <t>レーザー光源プロジェクターのレーザー安全評価に関する業務処理基準</t>
  </si>
  <si>
    <t>https://ei-core-02.apo.epson.net/prozou/html/document/view/313538710000000000000000000000000000/1</t>
  </si>
  <si>
    <t>GC-0111</t>
  </si>
  <si>
    <t>(メカ設計）要素TDR運用基準(TDR3A/3~TDR4)</t>
  </si>
  <si>
    <t>https://ei-core-02.apo.epson.net/prozou/html/document/view/313538730000000000000000000000000000/1</t>
  </si>
  <si>
    <t>GC-0112</t>
  </si>
  <si>
    <t>価値積み上げ型ソフトウェア開発基準</t>
  </si>
  <si>
    <t>https://ei-core-02.apo.epson.net/prozou/html/document/view/313538810000000000000000000000000000/1</t>
  </si>
  <si>
    <t>GC-0113</t>
  </si>
  <si>
    <t>（メカ設計）過去トラ情報登録フロー_業務処理基準</t>
  </si>
  <si>
    <t>https://ei-core-02.apo.epson.net/prozou/html/document/view/313539850000000000000000000000000000/1</t>
  </si>
  <si>
    <t>GC-0114</t>
  </si>
  <si>
    <t>（商品化推進）企画尖鋭化会議_業務処理基準</t>
  </si>
  <si>
    <t>https://ei-core-02.apo.epson.net/prozou/html/document/view/313538960000000000000000000000000000/1</t>
  </si>
  <si>
    <t>GC-0115</t>
  </si>
  <si>
    <t>安全/EMC/電波法認可取得国決定基準</t>
  </si>
  <si>
    <t>https://ei-core-02.apo.epson.net/prozou/html/document/view/313540090000000000000000000000000000/1371107</t>
  </si>
  <si>
    <t>GC-0116</t>
  </si>
  <si>
    <t>新製品立ち上げ業務手順（MDリーダー）</t>
  </si>
  <si>
    <t>https://ei-core-02.apo.epson.net/prozou/html/document/view/313540620000000000000000000000000000/1493021</t>
  </si>
  <si>
    <t>GC-0117</t>
  </si>
  <si>
    <t>実装設計業務処理基準</t>
  </si>
  <si>
    <t>https://ei-core-02.apo.epson.net/prozou/html/document/view/313539400000000000000000000000000000/1</t>
  </si>
  <si>
    <t>GC-0118</t>
  </si>
  <si>
    <t>電気用品安全法関係_適合確認業務処理基準</t>
  </si>
  <si>
    <t>https://ei-core-02.apo.epson.net/prozou/html/document/view/313539090000000000000000000000000000/1</t>
  </si>
  <si>
    <t>GC-0119</t>
  </si>
  <si>
    <t>(メカ設計)オフィシャルスペック記載内容に関する標準（外形寸法、質量、騒音）</t>
  </si>
  <si>
    <t>https://ei-core-02.apo.epson.net/prozou/html/document/view/313539100000000000000000000000000000/1784230</t>
  </si>
  <si>
    <t>GC-0120</t>
  </si>
  <si>
    <t>設計図面作成標準</t>
  </si>
  <si>
    <t>https://ei-core-02.apo.epson.net/prozou/html/document/view/313539220000000000000000000000000000/1</t>
  </si>
  <si>
    <t>GC-0121</t>
  </si>
  <si>
    <t>(メカ設計)機構、光学部品の部品名称に関する業務処理標準</t>
  </si>
  <si>
    <t>https://ei-core-02.apo.epson.net/prozou/html/document/view/313539190000000000000000000000000000/1</t>
  </si>
  <si>
    <t>GC-0122</t>
  </si>
  <si>
    <t>千歳新製品立上げ手順（組立）</t>
  </si>
  <si>
    <t>https://ei-core-02.apo.epson.net/prozou/html/document/view/313540240000000000000000000000000000/1</t>
  </si>
  <si>
    <t>GC-0123</t>
  </si>
  <si>
    <t>（メカ設計）製品開発外の金型起工プロセス</t>
  </si>
  <si>
    <t>https://ei-core-02.apo.epson.net/prozou/html/document/view/313539260000000000000000000000000000/1</t>
  </si>
  <si>
    <t>GC-0124</t>
  </si>
  <si>
    <t>資産管理_公的認証機関へ提出する製品の取扱い</t>
  </si>
  <si>
    <t>https://ei-core-02.apo.epson.net/prozou/html/document/view/313539300000000000000000000000000000/1</t>
  </si>
  <si>
    <t>GC-0125</t>
  </si>
  <si>
    <t>マニュアル及びサービスマニュアルへの公的規格関連記載手続き処理基準</t>
  </si>
  <si>
    <t>https://ei-core-02.apo.epson.net/prozou/html/document/view/313539320000000000000000000000000000/1</t>
  </si>
  <si>
    <t>GC-0126</t>
  </si>
  <si>
    <t>（メカ設計/組技）TDR2設計完成度向上にむけた業務処理基準</t>
  </si>
  <si>
    <t>https://ei-core-02.apo.epson.net/prozou/html/document/view/313539890000000000000000000000000000/1</t>
  </si>
  <si>
    <t>GC-0127</t>
  </si>
  <si>
    <t>EPMCサービスの運用における個人情報取り扱い業務処理基準</t>
  </si>
  <si>
    <t>https://ei-core-02.apo.epson.net/prozou/html/document/view/313539440000000000000000000000000000/1410082</t>
  </si>
  <si>
    <t>GC-0128</t>
  </si>
  <si>
    <t>購入品の量産採用プロセス</t>
  </si>
  <si>
    <t>https://ei-core-02.apo.epson.net/prozou/html/document/view/313539870000000000000000000000000000/1</t>
  </si>
  <si>
    <t>GC-0129</t>
  </si>
  <si>
    <t>ソフトウェア保守基準</t>
  </si>
  <si>
    <t>https://ei-core-02.apo.epson.net/prozou/html/document/view/313539510000000000000000000000000000/1</t>
  </si>
  <si>
    <t>GC-0130</t>
  </si>
  <si>
    <t>透過率コントラスト（HC-2）</t>
  </si>
  <si>
    <t>https://ei-core-02.apo.epson.net/prozou/html/document/view/313539520000000000000000000000000000/1</t>
  </si>
  <si>
    <t>GC-0131</t>
  </si>
  <si>
    <t>コントラスト（コントラスト測定機）</t>
  </si>
  <si>
    <t>https://ei-core-02.apo.epson.net/prozou/html/document/view/313539540000000000000000000000000000/1</t>
  </si>
  <si>
    <t>GC-0132</t>
  </si>
  <si>
    <t>（デザイン）CUD対応基準</t>
  </si>
  <si>
    <t>https://ei-core-02.apo.epson.net/prozou/html/document/view/313540290000000000000000000000000000/1</t>
  </si>
  <si>
    <t>GC-0133</t>
  </si>
  <si>
    <t>リスク抽出運用基準</t>
  </si>
  <si>
    <t>https://ei-core-02.apo.epson.net/prozou/html/document/view/313539610000000000000000000000000000/1563072</t>
  </si>
  <si>
    <t>GC-0134</t>
  </si>
  <si>
    <t>2拠点生産時の3Dデータ作り分け基準</t>
  </si>
  <si>
    <t>https://ei-core-02.apo.epson.net/prozou/html/document/view/313539620000000000000000000000000000/1</t>
  </si>
  <si>
    <t>GC-0135</t>
  </si>
  <si>
    <t>(メカ設計)３D検図及び２D検図運用基準</t>
  </si>
  <si>
    <t>https://ei-core-02.apo.epson.net/prozou/html/document/view/313539880000000000000000000000000000/1</t>
  </si>
  <si>
    <t>GC-0136</t>
  </si>
  <si>
    <t>評価技術開発プロセスフロー</t>
  </si>
  <si>
    <t>https://ei-core-02.apo.epson.net/prozou/html/document/view/313540030000000000000000000000000000/1</t>
  </si>
  <si>
    <t>GC-0137</t>
  </si>
  <si>
    <t>新規パネル開発における業務処理基準</t>
  </si>
  <si>
    <t>https://ei-core-02.apo.epson.net/prozou/html/document/view/313540110000000000000000000000000000/1</t>
  </si>
  <si>
    <t>GC-0138</t>
  </si>
  <si>
    <t>ゆめ水族園Webサービス運用個人情報管理基準</t>
  </si>
  <si>
    <t>https://ei-core-02.apo.epson.net/prozou/html/document/view/313540250000000000000000000000000000/1</t>
  </si>
  <si>
    <t>GC-0139</t>
  </si>
  <si>
    <t>（回路設計）先行開発プロセス基準</t>
  </si>
  <si>
    <t>https://ei-core-02.apo.epson.net/prozou/html/document/view/d027f2cb-4d68-4219-ac82-e97f0be63def/1863257</t>
  </si>
  <si>
    <t>GC-0140</t>
  </si>
  <si>
    <t>（回路設計）ICDR基準</t>
  </si>
  <si>
    <t>https://ei-core-02.apo.epson.net/prozou/html/document/view/ef55319d-67a1-4b34-97d2-ede338908104/1936731</t>
  </si>
  <si>
    <t>GC-xxxx</t>
  </si>
  <si>
    <t>SEC試作業務流れ</t>
  </si>
  <si>
    <t>https://ei-core-02.apo.epson.net/prozou/html/document/view/e28ac96b-20af-4c45-82fe-e41340fab521/1374500</t>
  </si>
  <si>
    <t>GB-0011</t>
  </si>
  <si>
    <t>水銀処理業務処理基準Rev06</t>
  </si>
  <si>
    <t>https://ei-core-02.apo.epson.net/prozou/html/document/view/313540180000000000000000000000000000/1</t>
  </si>
  <si>
    <t>PRODUCTION_TECH</t>
  </si>
  <si>
    <t>LAMP</t>
  </si>
  <si>
    <t>GD-0003</t>
  </si>
  <si>
    <t>施設経費予算の予実管理基準</t>
  </si>
  <si>
    <t>https://ei-core-02.apo.epson.net/prozou/html/document/view/313538590000000000000000000000000000/1</t>
  </si>
  <si>
    <t>GD-0004</t>
  </si>
  <si>
    <t>基礎設備コンテンジェンシープラン</t>
  </si>
  <si>
    <t>https://ei-core-02.apo.epson.net/prozou/html/document/view/313538570000000000000000000000000000/1</t>
  </si>
  <si>
    <t>GD-0005</t>
  </si>
  <si>
    <t>建物設備運転管理確認書の運用基準</t>
  </si>
  <si>
    <t>https://ei-core-02.apo.epson.net/prozou/html/document/view/313538580000000000000000000000000000/1</t>
  </si>
  <si>
    <t>GD-0006</t>
  </si>
  <si>
    <t>装置諸元表の運用基準</t>
  </si>
  <si>
    <t>https://ei-core-02.apo.epson.net/prozou/html/document/view/313538530000000000000000000000000000/1</t>
  </si>
  <si>
    <t>GD-0007</t>
  </si>
  <si>
    <t>装置全体諸元表の運用基準</t>
  </si>
  <si>
    <t>https://ei-core-02.apo.epson.net/prozou/html/document/view/313538540000000000000000000000000000/1</t>
  </si>
  <si>
    <t>GD-0008</t>
  </si>
  <si>
    <t>レイアウト図面管理基準</t>
  </si>
  <si>
    <t>https://ei-core-02.apo.epson.net/prozou/html/document/view/313538550000000000000000000000000000/1</t>
  </si>
  <si>
    <t>GD-0009</t>
  </si>
  <si>
    <t>装置レイアウトナンバー管理基準</t>
  </si>
  <si>
    <t>https://ei-core-02.apo.epson.net/prozou/html/document/view/313538560000000000000000000000000000/1</t>
  </si>
  <si>
    <t>GD-0012</t>
  </si>
  <si>
    <t>「製品含有管理化学物質管理基準」業務フローにおける部品技術の業務処理運用基準</t>
  </si>
  <si>
    <t>https://ei-core-02.apo.epson.net/prozou/html/document/view/313539050000000000000000000000000000/1</t>
  </si>
  <si>
    <t>GD-0013</t>
  </si>
  <si>
    <t>「XRF受入検査運用基準：登録番号KH-F01-0001）におけるXRF測定作業操作教育の業務処理基準</t>
    <phoneticPr fontId="1"/>
  </si>
  <si>
    <t>https://ei-core-02.apo.epson.net/prozou/html/document/view/313537720000000000000000000000000000/1</t>
  </si>
  <si>
    <t>GD-0017</t>
  </si>
  <si>
    <t>生産設備輸出手配業務処理基準</t>
  </si>
  <si>
    <t>https://ei-core-02.apo.epson.net/prozou/html/document/view/313541190000000000000000000000000000/1804471</t>
  </si>
  <si>
    <t>GD-0019</t>
  </si>
  <si>
    <t>検査設備の設置検収基準</t>
  </si>
  <si>
    <t>https://ei-core-02.apo.epson.net/prozou/html/document/view/313539720000000000000000000000000000/1</t>
  </si>
  <si>
    <t>GD-0020</t>
  </si>
  <si>
    <t>機密情報取扱い管理基準</t>
  </si>
  <si>
    <t>https://ei-core-02.apo.epson.net/prozou/html/document/view/313536480000000000000000000000000000/1</t>
  </si>
  <si>
    <t>GD-0022</t>
  </si>
  <si>
    <t>固定資産区分判断基準</t>
  </si>
  <si>
    <t>https://ei-core-02.apo.epson.net/prozou/html/document/view/313536490000000000000000000000000000/1</t>
  </si>
  <si>
    <t>GD-0023</t>
  </si>
  <si>
    <t>設備等検収運用基準</t>
  </si>
  <si>
    <t>https://ei-core-02.apo.epson.net/prozou/html/document/view/313536980000000000000000000000000000/1</t>
  </si>
  <si>
    <t>GD-0024</t>
  </si>
  <si>
    <t>機械等の安全審査実施運用基準</t>
  </si>
  <si>
    <t>https://ei-core-02.apo.epson.net/prozou/html/document/view/313539980000000000000000000000000000/1</t>
  </si>
  <si>
    <t>GD-0025</t>
  </si>
  <si>
    <t>作業実績工数集計基準</t>
  </si>
  <si>
    <t>https://ei-core-02.apo.epson.net/prozou/html/document/view/313537490000000000000000000000000000/1</t>
  </si>
  <si>
    <t>GD-0026</t>
  </si>
  <si>
    <t>機械等設備の役務提供に係る業務処理基準</t>
  </si>
  <si>
    <t>https://ei-core-02.apo.epson.net/prozou/html/document/view/313536500000000000000000000000000000/1464442</t>
  </si>
  <si>
    <t>GD-0027</t>
  </si>
  <si>
    <t>図面取扱い管理基準</t>
  </si>
  <si>
    <t>https://ei-core-02.apo.epson.net/prozou/html/document/view/313539750000000000000000000000000000/1</t>
  </si>
  <si>
    <t>GD-0028</t>
  </si>
  <si>
    <t>設備ＤＲ運用基準</t>
  </si>
  <si>
    <t>https://ei-core-02.apo.epson.net/prozou/html/document/view/313537930000000000000000000000000000/1</t>
  </si>
  <si>
    <t>GD-0029</t>
  </si>
  <si>
    <t>新製品・試作部品の登録と持ち出し管理基準</t>
  </si>
  <si>
    <t>https://ei-core-02.apo.epson.net/prozou/html/document/view/313536510000000000000000000000000000/1</t>
  </si>
  <si>
    <t>GD-0030</t>
  </si>
  <si>
    <t>他社及び他事業部からの受領情報_管理基準</t>
  </si>
  <si>
    <t>https://ei-core-02.apo.epson.net/prozou/html/document/view/313536520000000000000000000000000000/1</t>
  </si>
  <si>
    <t>GD-0035</t>
  </si>
  <si>
    <t>新製品の量産化推進について</t>
  </si>
  <si>
    <t>https://ei-core-02.apo.epson.net/prozou/html/document/view/313536820000000000000000000000000000/1</t>
  </si>
  <si>
    <t>GD-0036</t>
  </si>
  <si>
    <t>生産技術部の過去トラ情報の登録</t>
  </si>
  <si>
    <t>https://ei-core-02.apo.epson.net/prozou/html/document/view/313536530000000000000000000000000000/1</t>
  </si>
  <si>
    <t>GD-0037</t>
  </si>
  <si>
    <t>量産投入初回部品の品質認定業務処理基準</t>
  </si>
  <si>
    <t>https://ei-core-02.apo.epson.net/prozou/html/document/view/313536540000000000000000000000000000/1</t>
  </si>
  <si>
    <t>GD-0038</t>
  </si>
  <si>
    <t>光学部品_要求仕様書発行処理運用基準</t>
  </si>
  <si>
    <t>https://ei-core-02.apo.epson.net/prozou/html/document/view/313536550000000000000000000000000000/1</t>
  </si>
  <si>
    <t>GD-0039</t>
  </si>
  <si>
    <t>光学部品_保管時の温湿度管理リスト_技通制定基準</t>
  </si>
  <si>
    <t>https://ei-core-02.apo.epson.net/prozou/html/document/view/313536560000000000000000000000000000/1</t>
  </si>
  <si>
    <t>GD-0040</t>
  </si>
  <si>
    <t>光学部品_評価処理基準</t>
  </si>
  <si>
    <t>https://ei-core-02.apo.epson.net/prozou/html/document/view/313536570000000000000000000000000000/1</t>
  </si>
  <si>
    <t>GD-0041</t>
  </si>
  <si>
    <t>部品ｺｰﾄﾞ変更の判断基準</t>
  </si>
  <si>
    <t>https://ei-core-02.apo.epson.net/prozou/html/document/view/313541160000000000000000000000000000/1</t>
  </si>
  <si>
    <t>GD-0042</t>
  </si>
  <si>
    <t>外部委託発注運用基準</t>
  </si>
  <si>
    <t>https://ei-core-02.apo.epson.net/prozou/html/document/view/313536580000000000000000000000000000/1</t>
  </si>
  <si>
    <t>GD-0043</t>
  </si>
  <si>
    <t>資産登録運用基準</t>
  </si>
  <si>
    <t>https://ei-core-02.apo.epson.net/prozou/html/document/view/313539770000000000000000000000000000/1</t>
  </si>
  <si>
    <t>GD-0044</t>
  </si>
  <si>
    <t>資産廃却運用基準</t>
  </si>
  <si>
    <t>https://ei-core-02.apo.epson.net/prozou/html/document/view/313539780000000000000000000000000000/1</t>
  </si>
  <si>
    <t>GD-0045</t>
  </si>
  <si>
    <t>資産棚卸運用基準</t>
  </si>
  <si>
    <t>https://ei-core-02.apo.epson.net/prozou/html/document/view/313539790000000000000000000000000000/1</t>
  </si>
  <si>
    <t>GD-0046</t>
  </si>
  <si>
    <t>試作金型及び量産金型転用運用基準</t>
  </si>
  <si>
    <t>https://ei-core-02.apo.epson.net/prozou/html/document/view/313536590000000000000000000000000000/1</t>
  </si>
  <si>
    <t>GD-0048</t>
  </si>
  <si>
    <t>TFT・電特の追加処理_管理基準</t>
  </si>
  <si>
    <t>https://ei-core-02.apo.epson.net/prozou/html/document/view/313536690000000000000000000000000000/1</t>
  </si>
  <si>
    <t>CHITOSE</t>
  </si>
  <si>
    <t>GD-0049</t>
  </si>
  <si>
    <t>外部デモサンプル流動基準</t>
  </si>
  <si>
    <t>https://ei-core-02.apo.epson.net/prozou/html/document/view/313539470000000000000000000000000000/1798772</t>
  </si>
  <si>
    <t>GD-0050</t>
  </si>
  <si>
    <t>海外関連会社における機密情報漏洩対策に関する業務処理基準</t>
  </si>
  <si>
    <t>https://ei-core-02.apo.epson.net/prozou/html/document/view/313536680000000000000000000000000000/1</t>
  </si>
  <si>
    <t>GD-0051</t>
  </si>
  <si>
    <t>基板実験品流動管理基準</t>
  </si>
  <si>
    <t>https://ei-core-02.apo.epson.net/prozou/html/document/view/313538990000000000000000000000000000/1781147</t>
  </si>
  <si>
    <t>GD-0052</t>
  </si>
  <si>
    <t>装置レシピ変更基準</t>
  </si>
  <si>
    <t>https://ei-core-02.apo.epson.net/prozou/html/document/view/313536700000000000000000000000000000/1</t>
  </si>
  <si>
    <t>GD-0055</t>
  </si>
  <si>
    <t>試作品保管_管理基準</t>
  </si>
  <si>
    <t>https://ei-core-02.apo.epson.net/prozou/html/document/view/313539000000000000000000000000000000/1</t>
  </si>
  <si>
    <t>GD-0056</t>
  </si>
  <si>
    <t>購入仕様書運用基準</t>
  </si>
  <si>
    <t>https://ei-core-02.apo.epson.net/prozou/html/document/view/313538110000000000000000000000000000/1</t>
  </si>
  <si>
    <t>GD-0057</t>
  </si>
  <si>
    <t>技術通知：文書管理システム運用基準</t>
  </si>
  <si>
    <t>https://ei-core-02.apo.epson.net/prozou/html/document/view/313538770000000000000000000000000000/1</t>
  </si>
  <si>
    <t>GD-0058</t>
  </si>
  <si>
    <t>亜鉛めっき部品の接着に関する評価基準</t>
  </si>
  <si>
    <t>https://ei-core-02.apo.epson.net/prozou/html/document/view/313536850000000000000000000000000000/1</t>
  </si>
  <si>
    <t>GD-0060</t>
  </si>
  <si>
    <t>ＤＲ３データパッケージ/問題点対策書の未決裁防止運用基準</t>
  </si>
  <si>
    <t>https://ei-core-02.apo.epson.net/prozou/html/document/view/313536900000000000000000000000000000/1</t>
  </si>
  <si>
    <t>GD-0061</t>
  </si>
  <si>
    <t>海外出張管理基準</t>
  </si>
  <si>
    <t>https://ei-core-02.apo.epson.net/prozou/html/document/view/313539810000000000000000000000000000/1</t>
  </si>
  <si>
    <t>GD-0064</t>
  </si>
  <si>
    <t>回路実装_技通への変更内容記載基準</t>
  </si>
  <si>
    <t>https://ei-core-02.apo.epson.net/prozou/html/document/view/313537750000000000000000000000000000/1</t>
  </si>
  <si>
    <t>GD-0065</t>
  </si>
  <si>
    <t>設備整備企画書運用基準</t>
  </si>
  <si>
    <t>https://ei-core-02.apo.epson.net/prozou/html/document/view/313539680000000000000000000000000000/1</t>
  </si>
  <si>
    <t>GD-0066</t>
  </si>
  <si>
    <t>プロジェクタ製品_個装箱のテーピング仕様_制定までの業務処理基準</t>
  </si>
  <si>
    <t>https://ei-core-02.apo.epson.net/prozou/html/document/view/313536950000000000000000000000000000/1</t>
  </si>
  <si>
    <t>GD-0068</t>
  </si>
  <si>
    <t>設備整備プロセスフロー</t>
  </si>
  <si>
    <t>https://ei-core-02.apo.epson.net/prozou/html/document/view/313540790000000000000000000000000000/1</t>
  </si>
  <si>
    <t>GD-0070</t>
  </si>
  <si>
    <t>海外現法向け設備図面公開基準</t>
  </si>
  <si>
    <t>https://ei-core-02.apo.epson.net/prozou/html/document/view/313536960000000000000000000000000000/1</t>
  </si>
  <si>
    <t>GD-0071</t>
  </si>
  <si>
    <t>設備設計仕様書運用基準</t>
  </si>
  <si>
    <t>https://ei-core-02.apo.epson.net/prozou/html/document/view/313537400000000000000000000000000000/1</t>
  </si>
  <si>
    <t>GD-0072</t>
  </si>
  <si>
    <t>設備コスト見積り基準</t>
  </si>
  <si>
    <t>https://ei-core-02.apo.epson.net/prozou/html/document/view/313540550000000000000000000000000000/1</t>
  </si>
  <si>
    <t>GD-0073</t>
  </si>
  <si>
    <t>設備リスト運用基準</t>
  </si>
  <si>
    <t>https://ei-core-02.apo.epson.net/prozou/html/document/view/313539820000000000000000000000000000/1</t>
  </si>
  <si>
    <t>GD-0074</t>
  </si>
  <si>
    <t>WFD_HDCPキー工程配布作業標準</t>
  </si>
  <si>
    <t>https://ei-core-02.apo.epson.net/prozou/html/document/view/313539590000000000000000000000000000/1</t>
  </si>
  <si>
    <t>GD-0077</t>
  </si>
  <si>
    <t>部品技術文書_登録管理台帳運用基準</t>
  </si>
  <si>
    <t>https://ei-core-02.apo.epson.net/prozou/html/document/view/313537010000000000000000000000000000/1</t>
  </si>
  <si>
    <t>GD-0078</t>
  </si>
  <si>
    <t>システム入力トレサビ部品制定基準</t>
  </si>
  <si>
    <t>https://ei-core-02.apo.epson.net/prozou/html/document/view/313539070000000000000000000000000000/1</t>
  </si>
  <si>
    <t>GD-0079</t>
  </si>
  <si>
    <t>_技術資料運用業務処理基準</t>
  </si>
  <si>
    <t>https://ei-core-02.apo.epson.net/prozou/html/document/view/313537030000000000000000000000000000/1</t>
  </si>
  <si>
    <t>GD-0080</t>
  </si>
  <si>
    <t>部品技術系文書処理フロー業務処理基準</t>
  </si>
  <si>
    <t>https://ei-core-02.apo.epson.net/prozou/html/document/view/313540760000000000000000000000000000/1385151</t>
  </si>
  <si>
    <t>GD-0081</t>
  </si>
  <si>
    <t>ブラジル（EMS）生産拠点_LCP量産化推進業務処理基準</t>
  </si>
  <si>
    <t>https://ei-core-02.apo.epson.net/prozou/html/document/view/313537590000000000000000000000000000/1</t>
  </si>
  <si>
    <t>GD-0082</t>
  </si>
  <si>
    <t>国内試作における役割分担</t>
  </si>
  <si>
    <t>https://ei-core-02.apo.epson.net/prozou/html/document/view/313539430000000000000000000000000000/1832323</t>
  </si>
  <si>
    <t>GD-0083</t>
  </si>
  <si>
    <t>レイアウト図面作成管理基準</t>
  </si>
  <si>
    <t>https://ei-core-02.apo.epson.net/prozou/html/document/view/313540420000000000000000000000000000/1882138</t>
  </si>
  <si>
    <t>GD-0084</t>
  </si>
  <si>
    <t>メカ部品_部品図面確認に関する基準</t>
  </si>
  <si>
    <t>https://ei-core-02.apo.epson.net/prozou/html/document/view/313540140000000000000000000000000000/1</t>
  </si>
  <si>
    <t>GD-0085</t>
  </si>
  <si>
    <t>光学部品技術で扱う内製部品の量産移行に関する業務処理基準</t>
  </si>
  <si>
    <t>https://ei-core-02.apo.epson.net/prozou/html/document/view/313540070000000000000000000000000000/1583635</t>
  </si>
  <si>
    <t>GD-0086</t>
  </si>
  <si>
    <t>３Ｄプリンター運用基準</t>
  </si>
  <si>
    <t>https://ei-core-02.apo.epson.net/prozou/html/document/view/313539800000000000000000000000000000/1</t>
  </si>
  <si>
    <t>GD-0087</t>
  </si>
  <si>
    <t>試作水準表制定基準</t>
  </si>
  <si>
    <t>https://ei-core-02.apo.epson.net/prozou/html/document/view/313539110000000000000000000000000000/1</t>
  </si>
  <si>
    <t>GD-0088</t>
  </si>
  <si>
    <t>部品表制定/改廃業務基準</t>
  </si>
  <si>
    <t>https://ei-core-02.apo.epson.net/prozou/html/document/view/313539580000000000000000000000000000/1</t>
  </si>
  <si>
    <t>GD-0089</t>
  </si>
  <si>
    <t>試作流動票作成・改定基準</t>
  </si>
  <si>
    <t>https://ei-core-02.apo.epson.net/prozou/html/document/view/313537090000000000000000000000000000/1</t>
  </si>
  <si>
    <t>GD-0090</t>
  </si>
  <si>
    <t>量産開始確認会議運用基準</t>
  </si>
  <si>
    <t>https://ei-core-02.apo.epson.net/prozou/html/document/view/313537110000000000000000000000000000/1</t>
  </si>
  <si>
    <t>GD-0091</t>
  </si>
  <si>
    <t>装置共通仕様書管理基準</t>
  </si>
  <si>
    <t>https://ei-core-02.apo.epson.net/prozou/html/document/view/313540430000000000000000000000000000/1</t>
  </si>
  <si>
    <t>GD-0092</t>
  </si>
  <si>
    <t>装置通信仕様書管理業務処理基準</t>
  </si>
  <si>
    <t>https://ei-core-02.apo.epson.net/prozou/html/document/view/313539550000000000000000000000000000/1891752</t>
  </si>
  <si>
    <t>GD-0093</t>
  </si>
  <si>
    <t>装置諸元表管理業務処理基準</t>
  </si>
  <si>
    <t>https://ei-core-02.apo.epson.net/prozou/html/document/view/313540440000000000000000000000000000/1884600</t>
  </si>
  <si>
    <t>GD-0094</t>
  </si>
  <si>
    <t>レイアウトナンバー運用管理業務処理基準</t>
  </si>
  <si>
    <t>https://ei-core-02.apo.epson.net/prozou/html/document/view/313540450000000000000000000000000000/1884783</t>
  </si>
  <si>
    <t>GD-0095</t>
  </si>
  <si>
    <t>AOTSを利用した海外現法長期実習者受入業務処理基準</t>
  </si>
  <si>
    <t>https://ei-core-02.apo.epson.net/prozou/html/document/view/313537150000000000000000000000000000/1</t>
  </si>
  <si>
    <t>GD-0098</t>
  </si>
  <si>
    <t>装置導入業務処理基準</t>
  </si>
  <si>
    <t>https://ei-core-02.apo.epson.net/prozou/html/document/view/313540410000000000000000000000000000/1854748</t>
  </si>
  <si>
    <t>GD-0099</t>
  </si>
  <si>
    <t>共有フォルダ管理基準</t>
  </si>
  <si>
    <t>https://ei-core-02.apo.epson.net/prozou/html/document/view/313539760000000000000000000000000000/1</t>
  </si>
  <si>
    <t>GD-0100</t>
  </si>
  <si>
    <t>VP生産技術部貯蔵品B3運用基準</t>
  </si>
  <si>
    <t>https://ei-core-02.apo.epson.net/prozou/html/document/view/313538440000000000000000000000000000/1</t>
  </si>
  <si>
    <t>GD-0101</t>
  </si>
  <si>
    <t>VP生産技術部お祝い基準</t>
  </si>
  <si>
    <t>https://ei-core-02.apo.epson.net/prozou/html/document/view/313538780000000000000000000000000000/1</t>
  </si>
  <si>
    <t>GD-0102</t>
  </si>
  <si>
    <t>モック製造業務処理基準</t>
  </si>
  <si>
    <t>https://ei-core-02.apo.epson.net/prozou/html/document/view/313539740000000000000000000000000000/1493239</t>
  </si>
  <si>
    <t>GD-0103</t>
  </si>
  <si>
    <t>VP生産技術部・技術資料管理基準</t>
  </si>
  <si>
    <t>https://ei-core-02.apo.epson.net/prozou/html/document/view/313537970000000000000000000000000000/1</t>
  </si>
  <si>
    <t>GD-0104</t>
  </si>
  <si>
    <t>品質に関する責任権限</t>
  </si>
  <si>
    <t>https://ei-core-02.apo.epson.net/prozou/html/document/view/313541140000000000000000000000000000/1</t>
  </si>
  <si>
    <t>SUWANAN</t>
  </si>
  <si>
    <t>GD-0105</t>
  </si>
  <si>
    <t>品質記録と文書管理基準</t>
  </si>
  <si>
    <t>https://ei-core-02.apo.epson.net/prozou/html/document/view/313540950000000000000000000000000000/1</t>
  </si>
  <si>
    <t>GD-0106</t>
  </si>
  <si>
    <t>購入仕様書管理</t>
  </si>
  <si>
    <t>https://ei-core-02.apo.epson.net/prozou/html/document/view/313541070000000000000000000000000000/1</t>
  </si>
  <si>
    <t>GD-0107</t>
  </si>
  <si>
    <t>技術標準制定</t>
  </si>
  <si>
    <t>https://ei-core-02.apo.epson.net/prozou/html/document/view/313541120000000000000000000000000000/1</t>
  </si>
  <si>
    <t>GD-0108</t>
  </si>
  <si>
    <t>技術標準類図番管理</t>
  </si>
  <si>
    <t>https://ei-core-02.apo.epson.net/prozou/html/document/view/313538500000000000000000000000000000/1</t>
  </si>
  <si>
    <t>GD-0110</t>
  </si>
  <si>
    <t>限度見本管理</t>
  </si>
  <si>
    <t>https://ei-core-02.apo.epson.net/prozou/html/document/view/313541030000000000000000000000000000/1</t>
  </si>
  <si>
    <t>GD-0111</t>
  </si>
  <si>
    <t>_作業指示書管理</t>
  </si>
  <si>
    <t>https://ei-core-02.apo.epson.net/prozou/html/document/view/313541240000000000000000000000000000/1</t>
  </si>
  <si>
    <t>GD-0112</t>
  </si>
  <si>
    <t>4M変更管理</t>
  </si>
  <si>
    <t>https://ei-core-02.apo.epson.net/prozou/html/document/view/313541230000000000000000000000000000/1</t>
  </si>
  <si>
    <t>GD-0113</t>
  </si>
  <si>
    <t>組立工程_流動票（電子ファイル）の管理</t>
  </si>
  <si>
    <t>https://ei-core-02.apo.epson.net/prozou/html/document/view/313539420000000000000000000000000000/1</t>
  </si>
  <si>
    <t>GD-0114</t>
  </si>
  <si>
    <t>組立工程_製造装置ﾚｼﾋﾟ管理</t>
  </si>
  <si>
    <t>https://ei-core-02.apo.epson.net/prozou/html/document/view/313538510000000000000000000000000000/1</t>
  </si>
  <si>
    <t>GD-0115</t>
  </si>
  <si>
    <t>https://ei-core-02.apo.epson.net/prozou/html/document/view/313540900000000000000000000000000000/1352704</t>
  </si>
  <si>
    <t>GD-0116</t>
  </si>
  <si>
    <t>切断工程_流動表（電子ファイル）の管理</t>
  </si>
  <si>
    <t>https://ei-core-02.apo.epson.net/prozou/html/document/view/313538520000000000000000000000000000/1</t>
  </si>
  <si>
    <t>GD-0117</t>
  </si>
  <si>
    <t>製造レシピの運用管理について</t>
  </si>
  <si>
    <t>https://ei-core-02.apo.epson.net/prozou/html/document/view/313541040000000000000000000000000000/1</t>
  </si>
  <si>
    <t>GD-0118</t>
  </si>
  <si>
    <t>基板工程_オンライン流動システムの管理</t>
  </si>
  <si>
    <t>https://ei-core-02.apo.epson.net/prozou/html/document/view/313540940000000000000000000000000000/1</t>
  </si>
  <si>
    <t>GD-0119</t>
  </si>
  <si>
    <t>信頼性試験実施基準</t>
  </si>
  <si>
    <t>https://ei-core-02.apo.epson.net/prozou/html/document/view/313538630000000000000000000000000000/1</t>
  </si>
  <si>
    <t>GD-0120</t>
  </si>
  <si>
    <t>_品質異常処理基準</t>
  </si>
  <si>
    <t>https://ei-core-02.apo.epson.net/prozou/html/document/view/313541130000000000000000000000000000/1</t>
  </si>
  <si>
    <t>GD-0121</t>
  </si>
  <si>
    <t>_品質安定化管理基準</t>
  </si>
  <si>
    <t>https://ei-core-02.apo.epson.net/prozou/html/document/view/313538600000000000000000000000000000/1</t>
  </si>
  <si>
    <t>GD-0122</t>
  </si>
  <si>
    <t>業務処理基準の事前公開</t>
  </si>
  <si>
    <t>https://ei-core-02.apo.epson.net/prozou/html/document/view/313537900000000000000000000000000000/1</t>
  </si>
  <si>
    <t>GD-0123</t>
  </si>
  <si>
    <t>部品に関する初期流動管理_業務処理基準</t>
  </si>
  <si>
    <t>https://ei-core-02.apo.epson.net/prozou/html/document/view/313537910000000000000000000000000000/1</t>
  </si>
  <si>
    <t>GD-0124</t>
  </si>
  <si>
    <t>TOPICS部品表の使用禁止処理に関する業務処理基準</t>
  </si>
  <si>
    <t>https://ei-core-02.apo.epson.net/prozou/html/document/view/313539500000000000000000000000000000/1</t>
  </si>
  <si>
    <t>GD-0125</t>
  </si>
  <si>
    <t>現地法人設置設備のリモートメンテナンス作業運用基準</t>
  </si>
  <si>
    <t>https://ei-core-02.apo.epson.net/prozou/html/document/view/313537950000000000000000000000000000/1</t>
  </si>
  <si>
    <t>GD-0126</t>
  </si>
  <si>
    <t>装置部品・部材_洗浄／再生メーカー選定・評価基準</t>
  </si>
  <si>
    <t>https://ei-core-02.apo.epson.net/prozou/html/document/view/313538610000000000000000000000000000/1</t>
  </si>
  <si>
    <t>GD-0127</t>
  </si>
  <si>
    <t>設備立ち上げ出張の費用処理ルール</t>
  </si>
  <si>
    <t>https://ei-core-02.apo.epson.net/prozou/html/document/view/313538690000000000000000000000000000/1874346</t>
  </si>
  <si>
    <t>GD-0128</t>
  </si>
  <si>
    <t>試作部品等の廃棄手続処理基準</t>
  </si>
  <si>
    <t>https://ei-core-02.apo.epson.net/prozou/html/document/view/313538150000000000000000000000000000/1</t>
  </si>
  <si>
    <t>GD-0130</t>
  </si>
  <si>
    <t>更新装置評価基準</t>
  </si>
  <si>
    <t>https://ei-core-02.apo.epson.net/prozou/html/document/view/313539460000000000000000000000000000/1</t>
  </si>
  <si>
    <t>GD-0131</t>
  </si>
  <si>
    <t>内部印刷ラベル(本体ラベル)製造運用基準</t>
  </si>
  <si>
    <t>https://ei-core-02.apo.epson.net/prozou/html/document/view/313538080000000000000000000000000000/1</t>
  </si>
  <si>
    <t>GD-0132</t>
  </si>
  <si>
    <t>オーダー管理について</t>
  </si>
  <si>
    <t>https://ei-core-02.apo.epson.net/prozou/html/document/view/313541080000000000000000000000000000/1</t>
  </si>
  <si>
    <t>GD-0133</t>
  </si>
  <si>
    <t>試作品の資産管理に関する業務処理基準</t>
  </si>
  <si>
    <t>https://ei-core-02.apo.epson.net/prozou/html/document/view/313538230000000000000000000000000000/1</t>
  </si>
  <si>
    <t>GD-0134</t>
  </si>
  <si>
    <t>ラージベニュー(特殊使用)の工程戦略在庫設定に対する業務処理基準</t>
  </si>
  <si>
    <t>https://ei-core-02.apo.epson.net/prozou/html/document/view/313538250000000000000000000000000000/1</t>
  </si>
  <si>
    <t>GD-0135</t>
  </si>
  <si>
    <t>例外輸出および輸入手続き業務処理基準</t>
  </si>
  <si>
    <t>https://ei-core-02.apo.epson.net/prozou/html/document/view/313540600000000000000000000000000000/1790654</t>
  </si>
  <si>
    <t>GD-0136</t>
  </si>
  <si>
    <t>メカ部品_成形後インサートナットに関する基準</t>
  </si>
  <si>
    <t>https://ei-core-02.apo.epson.net/prozou/html/document/view/313538260000000000000000000000000000/1</t>
  </si>
  <si>
    <t>GD-0138</t>
  </si>
  <si>
    <t>生産技術部門基板担当_新機種立ち上げ時技術運用基準</t>
  </si>
  <si>
    <t>https://ei-core-02.apo.epson.net/prozou/html/document/view/313538430000000000000000000000000000/1</t>
  </si>
  <si>
    <t>GD-0139</t>
  </si>
  <si>
    <t>生産設計TDR運用基準</t>
  </si>
  <si>
    <t>https://ei-core-02.apo.epson.net/prozou/html/document/view/28f6b988-6591-4034-a314-c69e39e6fb11/1666387</t>
  </si>
  <si>
    <t>GD-0140</t>
  </si>
  <si>
    <t>４M変更管理基準</t>
  </si>
  <si>
    <t>https://ei-core-02.apo.epson.net/prozou/html/document/view/313539600000000000000000000000000000/1</t>
  </si>
  <si>
    <t>GD-0141</t>
  </si>
  <si>
    <t>光学品技術で扱う熱成形用試作金型に関する業務処理基準</t>
  </si>
  <si>
    <t>https://ei-core-02.apo.epson.net/prozou/html/document/view/313538750000000000000000000000000000/1</t>
  </si>
  <si>
    <t>GD-0142</t>
  </si>
  <si>
    <t>酸・アルカリドラフト使用管理基準</t>
  </si>
  <si>
    <t>https://ei-core-02.apo.epson.net/prozou/html/document/view/313540200000000000000000000000000000/1</t>
  </si>
  <si>
    <t>GD-0143</t>
  </si>
  <si>
    <t>建物投資工事手配基準</t>
  </si>
  <si>
    <t>https://ei-core-02.apo.epson.net/prozou/html/document/view/313538820000000000000000000000000000/1</t>
  </si>
  <si>
    <t>GD-0144</t>
  </si>
  <si>
    <t>FDA特例許可対象の製造現法に関わる業務の業務処理基準</t>
  </si>
  <si>
    <t>https://ei-core-02.apo.epson.net/prozou/html/document/view/313538980000000000000000000000000000/1</t>
  </si>
  <si>
    <t>GD-0145</t>
  </si>
  <si>
    <t>VPSデータ_環境設定・運用基準</t>
  </si>
  <si>
    <t>https://ei-core-02.apo.epson.net/prozou/html/document/view/313539360000000000000000000000000000/1</t>
  </si>
  <si>
    <t>GD-0146</t>
  </si>
  <si>
    <t>外販モジュール出荷検査運用基準</t>
  </si>
  <si>
    <t>https://ei-core-02.apo.epson.net/prozou/html/document/view/313539080000000000000000000000000000/1398169</t>
  </si>
  <si>
    <t>GD-0147</t>
  </si>
  <si>
    <t>生産技術テーマレビュー運用基準</t>
  </si>
  <si>
    <t>https://ei-core-02.apo.epson.net/prozou/html/document/view/313540780000000000000000000000000000/1506841</t>
  </si>
  <si>
    <t>GD-0148</t>
  </si>
  <si>
    <t>実装部品受入検査運用基準</t>
  </si>
  <si>
    <t>https://ei-core-02.apo.epson.net/prozou/html/document/view/313539150000000000000000000000000000/1</t>
  </si>
  <si>
    <t>GD-0149</t>
  </si>
  <si>
    <t>生産設備輸入手配業務処理基準</t>
  </si>
  <si>
    <t>https://ei-core-02.apo.epson.net/prozou/html/document/view/313540670000000000000000000000000000/1</t>
  </si>
  <si>
    <t>GD-0150</t>
  </si>
  <si>
    <t>メカ部品_PL成形使用材料に関する基準</t>
  </si>
  <si>
    <t>https://ei-core-02.apo.epson.net/prozou/html/document/view/313540280000000000000000000000000000/1</t>
  </si>
  <si>
    <t>GD-0151</t>
  </si>
  <si>
    <t>労働安全衛生活動計画作成基準</t>
  </si>
  <si>
    <t>https://ei-core-02.apo.epson.net/prozou/html/document/view/313539900000000000000000000000000000/1</t>
  </si>
  <si>
    <t>GD-0152</t>
  </si>
  <si>
    <t>組立ガイドライン改定基準</t>
  </si>
  <si>
    <t>https://ei-core-02.apo.epson.net/prozou/html/document/view/313539920000000000000000000000000000/1</t>
  </si>
  <si>
    <t>GD-0153</t>
  </si>
  <si>
    <t>FSシート運用基準</t>
  </si>
  <si>
    <t>https://ei-core-02.apo.epson.net/prozou/html/document/view/313540010000000000000000000000000000/1</t>
  </si>
  <si>
    <t>GD-0154</t>
  </si>
  <si>
    <t>限度見本管理基準</t>
  </si>
  <si>
    <t>https://ei-core-02.apo.epson.net/prozou/html/document/view/313540050000000000000000000000000000/1</t>
  </si>
  <si>
    <t>GD-0155</t>
  </si>
  <si>
    <t>号機制約情報管理基準</t>
  </si>
  <si>
    <t>https://ei-core-02.apo.epson.net/prozou/html/document/view/313541210000000000000000000000000000/1</t>
  </si>
  <si>
    <t>GD-0156</t>
  </si>
  <si>
    <t>_安全審査帳票類管理基準</t>
  </si>
  <si>
    <t>https://ei-core-02.apo.epson.net/prozou/html/document/view/313541200000000000000000000000000000/1</t>
  </si>
  <si>
    <t>GD-0157</t>
  </si>
  <si>
    <t>VP製品部マネジメントプロセス基準</t>
  </si>
  <si>
    <t>https://ei-core-02.apo.epson.net/prozou/html/document/view/313540370000000000000000000000000000/1480392</t>
  </si>
  <si>
    <t>GD-0158</t>
  </si>
  <si>
    <t>中期投資検討プロセス管理基準</t>
  </si>
  <si>
    <t>https://ei-core-02.apo.epson.net/prozou/html/document/view/313540380000000000000000000000000000/1</t>
  </si>
  <si>
    <t>GD-0159</t>
  </si>
  <si>
    <t>作業指示書管理基準</t>
  </si>
  <si>
    <t>https://ei-core-02.apo.epson.net/prozou/html/document/view/313540710000000000000000000000000000/1</t>
  </si>
  <si>
    <t>GD-0160</t>
  </si>
  <si>
    <t>https://ei-core-02.apo.epson.net/prozou/html/document/view/313540750000000000000000000000000000/1</t>
  </si>
  <si>
    <t>GD-0161</t>
  </si>
  <si>
    <t>Prozouによる技術標準類運用基準(件名・文書名・ファイル名・制定・改定手順）</t>
  </si>
  <si>
    <t>https://ei-core-02.apo.epson.net/prozou/html/document/view/313540870000000000000000000000000000/1</t>
  </si>
  <si>
    <t>GD-0162</t>
  </si>
  <si>
    <t>ＥＯＬ判断プロセス管理基準</t>
  </si>
  <si>
    <t>https://ei-core-02.apo.epson.net/prozou/html/document/view/313541170000000000000000000000000000/1</t>
  </si>
  <si>
    <t>GD-0163</t>
  </si>
  <si>
    <t>QDAキー管理運用基準</t>
  </si>
  <si>
    <t>https://ei-core-02.apo.epson.net/prozou/html/document/view/65f96542-0f52-47af-a18a-27444555f16e/1351158</t>
  </si>
  <si>
    <t>GD-0164</t>
  </si>
  <si>
    <t>次期リーダー育成プログラム運用基準_REV.2</t>
  </si>
  <si>
    <t>https://ei-core-02.apo.epson.net/prozou/html/document/view/ebe0a8e5-4cee-466e-9d00-6c4167c73f5e/1804140</t>
  </si>
  <si>
    <t>GD-0076</t>
  </si>
  <si>
    <t>作業指示書発行・登録管理基準</t>
  </si>
  <si>
    <t>https://ei-core-02.apo.epson.net/prozou/html/document/view/313540060000000000000000000000000000/1407428</t>
  </si>
  <si>
    <t>GE-0001</t>
  </si>
  <si>
    <t>_緊急事態発生時の対応基準</t>
  </si>
  <si>
    <t>https://ei-core-02.apo.epson.net/prozou/html/document/view/313541300000000000000000000000000000/1886553</t>
  </si>
  <si>
    <t>MANUFACTURING</t>
  </si>
  <si>
    <t>GE-0002</t>
  </si>
  <si>
    <t>_安全管理基準</t>
  </si>
  <si>
    <t>https://ei-core-02.apo.epson.net/prozou/html/document/view/313539960000000000000000000000000000/1</t>
  </si>
  <si>
    <t>GE-0003</t>
  </si>
  <si>
    <t>_設備・計測器点検管理基準</t>
  </si>
  <si>
    <t>https://ei-core-02.apo.epson.net/prozou/html/document/view/313540970000000000000000000000000000/1882454</t>
  </si>
  <si>
    <t>GE-0004</t>
  </si>
  <si>
    <t>_薬品・ガス緊急時処置基準</t>
  </si>
  <si>
    <t>https://ei-core-02.apo.epson.net/prozou/html/document/view/313538180000000000000000000000000000/1</t>
  </si>
  <si>
    <t>GE-0005</t>
  </si>
  <si>
    <t>_クリーン管理基準_Rev2</t>
  </si>
  <si>
    <t>https://ei-core-02.apo.epson.net/prozou/html/document/view/313539950000000000000000000000000000/1428659</t>
  </si>
  <si>
    <t>GE-0006</t>
  </si>
  <si>
    <t>_実装協力工場への送品業務基準</t>
  </si>
  <si>
    <t>https://ei-core-02.apo.epson.net/prozou/html/document/view/313539990000000000000000000000000000/1</t>
  </si>
  <si>
    <t>GE-0007</t>
  </si>
  <si>
    <t>_ワンポイントレッスンシート管理基準</t>
  </si>
  <si>
    <t>https://ei-core-02.apo.epson.net/prozou/html/document/view/313541260000000000000000000000000000/1893969</t>
  </si>
  <si>
    <t>GE-0008</t>
  </si>
  <si>
    <t>_装置メンテナンス後復元確認基準</t>
  </si>
  <si>
    <t>https://ei-core-02.apo.epson.net/prozou/html/document/view/313538940000000000000000000000000000/1</t>
  </si>
  <si>
    <t>GE-0009</t>
  </si>
  <si>
    <t>_工程異常・不適合品処置基準</t>
  </si>
  <si>
    <t>https://ei-core-02.apo.epson.net/prozou/html/document/view/313539560000000000000000000000000000/1787312</t>
  </si>
  <si>
    <t>GE-0010</t>
  </si>
  <si>
    <t>_機械部品管理基準</t>
  </si>
  <si>
    <t>https://ei-core-02.apo.epson.net/prozou/html/document/view/313539700000000000000000000000000000/1</t>
  </si>
  <si>
    <t>GE-0011</t>
  </si>
  <si>
    <t>_機械部品保管棚管理基準</t>
  </si>
  <si>
    <t>https://ei-core-02.apo.epson.net/prozou/html/document/view/313538970000000000000000000000000000/1</t>
  </si>
  <si>
    <t>GE-0012</t>
  </si>
  <si>
    <t>_保護具点検管理基準</t>
  </si>
  <si>
    <t>https://ei-core-02.apo.epson.net/prozou/html/document/view/313538120000000000000000000000000000/1</t>
  </si>
  <si>
    <t>GE-0013</t>
  </si>
  <si>
    <t>_作業標準書管理基準</t>
  </si>
  <si>
    <t>https://ei-core-02.apo.epson.net/prozou/html/document/view/313540170000000000000000000000000000/1</t>
  </si>
  <si>
    <t>GE-0014</t>
  </si>
  <si>
    <t>_請負業者指示連絡管理基準_</t>
  </si>
  <si>
    <t>https://ei-core-02.apo.epson.net/prozou/html/document/view/313538950000000000000000000000000000/1</t>
  </si>
  <si>
    <t>GE-0017</t>
  </si>
  <si>
    <t>年度保全予算の立案申請管理基準</t>
  </si>
  <si>
    <t>https://ei-core-02.apo.epson.net/prozou/html/document/view/313541110000000000000000000000000000/1</t>
  </si>
  <si>
    <t>GE-0018</t>
  </si>
  <si>
    <t>機械・設備の修理・保全管理基準</t>
  </si>
  <si>
    <t>https://ei-core-02.apo.epson.net/prozou/html/document/view/313541020000000000000000000000000000/1</t>
  </si>
  <si>
    <t>GE-0019</t>
  </si>
  <si>
    <t>予防保全・年度保全計画作成の推進管理基準</t>
  </si>
  <si>
    <t>https://ei-core-02.apo.epson.net/prozou/html/document/view/313538460000000000000000000000000000/1486529</t>
  </si>
  <si>
    <t>GE-0020</t>
  </si>
  <si>
    <t>保全データ管理基準</t>
  </si>
  <si>
    <t>https://ei-core-02.apo.epson.net/prozou/html/document/view/313538470000000000000000000000000000/1466774</t>
  </si>
  <si>
    <t>GE-0021</t>
  </si>
  <si>
    <t>保全管理システム管理基準</t>
  </si>
  <si>
    <t>https://ei-core-02.apo.epson.net/prozou/html/document/view/313538480000000000000000000000000000/1470073</t>
  </si>
  <si>
    <t>GE-0022</t>
  </si>
  <si>
    <t>機械部品管理基準</t>
  </si>
  <si>
    <t>https://ei-core-02.apo.epson.net/prozou/html/document/view/313538490000000000000000000000000000/1478056</t>
  </si>
  <si>
    <t>GE-0023</t>
  </si>
  <si>
    <t>装置部品洗浄等に関する納入仕様書管理基準</t>
  </si>
  <si>
    <t>https://ei-core-02.apo.epson.net/prozou/html/document/view/313538310000000000000000000000000000/1475694</t>
  </si>
  <si>
    <t>GE-0024</t>
  </si>
  <si>
    <t>メーカー窓口・折衝管理基準</t>
  </si>
  <si>
    <t>https://ei-core-02.apo.epson.net/prozou/html/document/view/313538320000000000000000000000000000/1471880</t>
  </si>
  <si>
    <t>GE-0025</t>
  </si>
  <si>
    <t>機械・設備・冶工具類の搬入・設置・搬出管理基準</t>
  </si>
  <si>
    <t>https://ei-core-02.apo.epson.net/prozou/html/document/view/313540980000000000000000000000000000/1</t>
  </si>
  <si>
    <t>GE-0026</t>
  </si>
  <si>
    <t>https://ei-core-02.apo.epson.net/prozou/html/document/view/313539860000000000000000000000000000/1483717</t>
  </si>
  <si>
    <t>GE-0027</t>
  </si>
  <si>
    <t>https://ei-core-02.apo.epson.net/prozou/html/document/view/313540930000000000000000000000000000/1</t>
  </si>
  <si>
    <t>GE-0028</t>
  </si>
  <si>
    <t>４Ｍ変更管理基準</t>
  </si>
  <si>
    <t>https://ei-core-02.apo.epson.net/prozou/html/document/view/313538720000000000000000000000000000/1790562</t>
  </si>
  <si>
    <t>GE-0030</t>
  </si>
  <si>
    <t>作業標準書作成・管理基準</t>
  </si>
  <si>
    <t>https://ei-core-02.apo.epson.net/prozou/html/document/view/313540480000000000000000000000000000/1361139</t>
  </si>
  <si>
    <t>GE-0031</t>
  </si>
  <si>
    <t>https://ei-core-02.apo.epson.net/prozou/html/document/view/313540990000000000000000000000000000/1400262</t>
  </si>
  <si>
    <t>GE-0032</t>
  </si>
  <si>
    <t>製造設備管理基準</t>
  </si>
  <si>
    <t>https://ei-core-02.apo.epson.net/prozou/html/document/view/313541060000000000000000000000000000/1</t>
  </si>
  <si>
    <t>GE-0033</t>
  </si>
  <si>
    <t>間接材料購入管理基準</t>
  </si>
  <si>
    <t>https://ei-core-02.apo.epson.net/prozou/html/document/view/313538330000000000000000000000000000/1</t>
  </si>
  <si>
    <t>GE-0034</t>
  </si>
  <si>
    <t>https://ei-core-02.apo.epson.net/prozou/html/document/view/313541150000000000000000000000000000/1</t>
  </si>
  <si>
    <t>GE-0035</t>
  </si>
  <si>
    <t>リスクアセスメント_作業リスク４以上発生時の対応基準</t>
  </si>
  <si>
    <t>https://ei-core-02.apo.epson.net/prozou/html/document/view/313539970000000000000000000000000000/1</t>
  </si>
  <si>
    <t>GE-0047</t>
  </si>
  <si>
    <t>職場安全管理基準</t>
  </si>
  <si>
    <t>https://ei-core-02.apo.epson.net/prozou/html/document/view/313541280000000000000000000000000000/1</t>
  </si>
  <si>
    <t>GE-0048</t>
  </si>
  <si>
    <t>工場見学管理基準</t>
  </si>
  <si>
    <t>https://ei-core-02.apo.epson.net/prozou/html/document/view/313539120000000000000000000000000000/1</t>
  </si>
  <si>
    <t>GE-0053</t>
  </si>
  <si>
    <t>貯蔵品実地棚卸基準</t>
  </si>
  <si>
    <t>https://ei-core-02.apo.epson.net/prozou/html/document/view/313541100000000000000000000000000000/1</t>
  </si>
  <si>
    <t>GE-0054</t>
  </si>
  <si>
    <t>危険有害物質管理基準</t>
  </si>
  <si>
    <t>https://ei-core-02.apo.epson.net/prozou/html/document/view/313539940000000000000000000000000000/1</t>
  </si>
  <si>
    <t>GE-0059</t>
  </si>
  <si>
    <t>組立検査標準書制定・改訂回覧基準</t>
  </si>
  <si>
    <t>https://ei-core-02.apo.epson.net/prozou/html/document/view/313538090000000000000000000000000000/1</t>
  </si>
  <si>
    <t>GE-0061</t>
  </si>
  <si>
    <t>職場発行作業指示書_管理基準</t>
  </si>
  <si>
    <t>https://ei-core-02.apo.epson.net/prozou/html/document/view/313541090000000000000000000000000000/1</t>
  </si>
  <si>
    <t>GE-0062</t>
  </si>
  <si>
    <t>統計的手法活用基準</t>
  </si>
  <si>
    <t>https://ei-core-02.apo.epson.net/prozou/html/document/view/313541000000000000000000000000000000/1</t>
  </si>
  <si>
    <t>GE-0063</t>
  </si>
  <si>
    <t>廃棄物管理基準</t>
  </si>
  <si>
    <t>https://ei-core-02.apo.epson.net/prozou/html/document/view/313541010000000000000000000000000000/1</t>
  </si>
  <si>
    <t>GE-0065</t>
  </si>
  <si>
    <t>工程管理業務基準</t>
  </si>
  <si>
    <t>https://ei-core-02.apo.epson.net/prozou/html/document/view/313540810000000000000000000000000000/1</t>
  </si>
  <si>
    <t>GE-0066</t>
  </si>
  <si>
    <t>職場緊急事態発生時の対応基準</t>
  </si>
  <si>
    <t>https://ei-core-02.apo.epson.net/prozou/html/document/view/313540880000000000000000000000000000/1715913</t>
  </si>
  <si>
    <t>GE-0067</t>
  </si>
  <si>
    <t>シリンダーキャビネット散水管理基準</t>
  </si>
  <si>
    <t>https://ei-core-02.apo.epson.net/prozou/html/document/view/313538360000000000000000000000000000/1</t>
  </si>
  <si>
    <t>GE-0068</t>
  </si>
  <si>
    <t>環境点検管理基準</t>
  </si>
  <si>
    <t>https://ei-core-02.apo.epson.net/prozou/html/document/view/313538370000000000000000000000000000/1507213</t>
  </si>
  <si>
    <t>GE-0069</t>
  </si>
  <si>
    <t>外部業者クリーンルーム入室管理基準</t>
  </si>
  <si>
    <t>https://ei-core-02.apo.epson.net/prozou/html/document/view/313540640000000000000000000000000000/1</t>
  </si>
  <si>
    <t>GE-0070</t>
  </si>
  <si>
    <t>生産設備の緊急事態発生時対応方法基準</t>
  </si>
  <si>
    <t>https://ei-core-02.apo.epson.net/prozou/html/document/view/313538850000000000000000000000000000/1</t>
  </si>
  <si>
    <t>GE-0071</t>
  </si>
  <si>
    <t>https://ei-core-02.apo.epson.net/prozou/html/document/view/313538390000000000000000000000000000/1352754</t>
  </si>
  <si>
    <t>GE-0072</t>
  </si>
  <si>
    <t>https://ei-core-02.apo.epson.net/prozou/html/document/view/313541270000000000000000000000000000/1</t>
  </si>
  <si>
    <t>GE-0075</t>
  </si>
  <si>
    <t>_基板工程流動管理基準</t>
  </si>
  <si>
    <t>https://ei-core-02.apo.epson.net/prozou/html/document/view/313538380000000000000000000000000000/1432418</t>
  </si>
  <si>
    <t>GE-0076</t>
  </si>
  <si>
    <t>教育資料管理基準</t>
  </si>
  <si>
    <t>https://ei-core-02.apo.epson.net/prozou/html/document/view/313538340000000000000000000000000000/1</t>
  </si>
  <si>
    <t>GE-0078</t>
  </si>
  <si>
    <t>量産製品OQC依頼基準</t>
  </si>
  <si>
    <t>https://ei-core-02.apo.epson.net/prozou/html/document/view/313538350000000000000000000000000000/1</t>
  </si>
  <si>
    <t>GE-0079</t>
  </si>
  <si>
    <t>製品梱包箱ラベル内部印刷基準</t>
  </si>
  <si>
    <t>https://ei-core-02.apo.epson.net/prozou/html/document/view/313538420000000000000000000000000000/1</t>
  </si>
  <si>
    <t>GE-0083</t>
  </si>
  <si>
    <t>https://ei-core-02.apo.epson.net/prozou/html/document/view/313540920000000000000000000000000000/1</t>
  </si>
  <si>
    <t>GE-0084</t>
  </si>
  <si>
    <t>未使用設備の停止業務処理基準</t>
  </si>
  <si>
    <t>https://ei-core-02.apo.epson.net/prozou/html/document/view/313539290000000000000000000000000000/1</t>
  </si>
  <si>
    <t>GE-0085</t>
  </si>
  <si>
    <t>夜間・休日_業務連絡基準</t>
  </si>
  <si>
    <t>https://ei-core-02.apo.epson.net/prozou/html/document/view/313539340000000000000000000000000000/1</t>
  </si>
  <si>
    <t>GE-0086</t>
  </si>
  <si>
    <t>防塵着着用管理基準</t>
  </si>
  <si>
    <t>https://ei-core-02.apo.epson.net/prozou/html/document/view/313541220000000000000000000000000000/1</t>
  </si>
  <si>
    <t>GE-0088</t>
  </si>
  <si>
    <t>https://ei-core-02.apo.epson.net/prozou/html/document/view/313540540000000000000000000000000000/1</t>
  </si>
  <si>
    <t>GE-0089</t>
  </si>
  <si>
    <t>https://ei-core-02.apo.epson.net/prozou/html/document/view/313540000000000000000000000000000000/1</t>
  </si>
  <si>
    <t>GE-0090</t>
  </si>
  <si>
    <t>製造工程内改訂管理外文書取り扱い基準</t>
  </si>
  <si>
    <t>https://ei-core-02.apo.epson.net/prozou/html/document/view/313540040000000000000000000000000000/1</t>
  </si>
  <si>
    <t>GE-0091</t>
  </si>
  <si>
    <t>オペレーションエラー是正管理基準</t>
  </si>
  <si>
    <t>https://ei-core-02.apo.epson.net/prozou/html/document/view/313540210000000000000000000000000000/1</t>
  </si>
  <si>
    <t>GE-0092</t>
  </si>
  <si>
    <t>_号機制約情報管理基準</t>
  </si>
  <si>
    <t>https://ei-core-02.apo.epson.net/prozou/html/document/view/313540120000000000000000000000000000/1506724</t>
  </si>
  <si>
    <t>GE-0093</t>
  </si>
  <si>
    <t>標準時間管理基準</t>
  </si>
  <si>
    <t>https://ei-core-02.apo.epson.net/prozou/html/document/view/313540190000000000000000000000000000/1475154</t>
  </si>
  <si>
    <t>GE-0094</t>
  </si>
  <si>
    <t>https://ei-core-02.apo.epson.net/prozou/html/document/view/313540510000000000000000000000000000/1</t>
  </si>
  <si>
    <t>GE-0095</t>
  </si>
  <si>
    <t>設備状態管理基準</t>
  </si>
  <si>
    <t>https://ei-core-02.apo.epson.net/prozou/html/document/view/313540650000000000000000000000000000/1</t>
  </si>
  <si>
    <t>GE-0096</t>
  </si>
  <si>
    <t>https://ei-core-02.apo.epson.net/prozou/html/document/view/313540660000000000000000000000000000/1</t>
  </si>
  <si>
    <t>GE-0097</t>
  </si>
  <si>
    <t>作業指示書製造運用基準</t>
  </si>
  <si>
    <t>https://ei-core-02.apo.epson.net/prozou/html/document/view/313540820000000000000000000000000000/1</t>
  </si>
  <si>
    <t>GE-0098</t>
  </si>
  <si>
    <t>5S3定活動基準</t>
  </si>
  <si>
    <t>https://ei-core-02.apo.epson.net/prozou/html/document/view/313540830000000000000000000000000000/1</t>
  </si>
  <si>
    <t>GE-0099</t>
  </si>
  <si>
    <t>生産シミュレーター管理基準</t>
  </si>
  <si>
    <t>https://ei-core-02.apo.epson.net/prozou/html/document/view/313540910000000000000000000000000000/1</t>
  </si>
  <si>
    <t>GE-0100</t>
  </si>
  <si>
    <t>外部業者への備品貸出基準</t>
  </si>
  <si>
    <t>https://ei-core-02.apo.epson.net/prozou/html/document/view/313541310000000000000000000000000000/1</t>
  </si>
  <si>
    <t>GE-0101</t>
  </si>
  <si>
    <t>https://ei-core-02.apo.epson.net/prozou/html/document/view/3f6b0517-27e2-4b5a-b92a-785b5a165608/1377866</t>
  </si>
  <si>
    <t>GE-0102</t>
  </si>
  <si>
    <t>高圧ガスボンベ（使用期限）管理基準</t>
  </si>
  <si>
    <t>https://ei-core-02.apo.epson.net/prozou/html/document/view/566c47a2-1a91-4139-b98c-b0990c99d222/1383150</t>
  </si>
  <si>
    <t>GE-0103</t>
  </si>
  <si>
    <t>_担任業務/安全・勤怠管理代行業務基準</t>
  </si>
  <si>
    <t>https://ei-core-02.apo.epson.net/prozou/html/document/view/0389dada-abec-4fcd-a571-a55236fb83cd/1387545</t>
  </si>
  <si>
    <t>GE-xxxx</t>
  </si>
  <si>
    <t>VP制造部Clean化基准修订发行Rev.3</t>
  </si>
  <si>
    <t>https://ei-core-02.apo.epson.net/prozou/html/document/view/69283577-626c-4124-93f0-4272f2d6a32b/1443528</t>
  </si>
  <si>
    <t>GE-yyyy</t>
  </si>
  <si>
    <t>https://ei-core-02.apo.epson.net/prozou/html/document/view/c94a3e4e-0578-4ae5-8b7b-3814dc3c5adf/1448495</t>
  </si>
  <si>
    <t>GE-0016</t>
  </si>
  <si>
    <t>https://ei-core-02.apo.epson.net/prozou/html/document/view/313540890000000000000000000000000000/1748826</t>
  </si>
  <si>
    <t>GE-0080</t>
  </si>
  <si>
    <t>https://ei-core-02.apo.epson.net/prozou/html/document/view/313540490000000000000000000000000000/1850611</t>
  </si>
  <si>
    <t>GF-0001</t>
  </si>
  <si>
    <t>新製品コスト作り込みに関する業務基準</t>
  </si>
  <si>
    <t>https://ei-core-02.apo.epson.net/prozou/html/document/view/313536990000000000000000000000000000/1</t>
  </si>
  <si>
    <t>PRODUCTION_MANAGEMENT_AND_PROCUREMENT</t>
  </si>
  <si>
    <t>GF-0002</t>
  </si>
  <si>
    <t>WS部品手配業務処理基準</t>
  </si>
  <si>
    <t>https://ei-core-02.apo.epson.net/prozou/html/document/view/313536270000000000000000000000000000/1</t>
  </si>
  <si>
    <t>GF-0003</t>
  </si>
  <si>
    <t>機密情報取り扱い基準</t>
  </si>
  <si>
    <t>https://ei-core-02.apo.epson.net/prozou/html/document/view/a6b25d39-f7f0-448b-a31b-49d419b07e68/1353097</t>
  </si>
  <si>
    <t>GF-0008</t>
  </si>
  <si>
    <t>実地棚卸_棚卸検数・貸出品処理_業務処理基準</t>
  </si>
  <si>
    <t>https://ei-core-02.apo.epson.net/prozou/html/document/view/313540020000000000000000000000000000/1</t>
  </si>
  <si>
    <t>GF-0009</t>
  </si>
  <si>
    <t>実地棚卸_立会監査実施基準</t>
  </si>
  <si>
    <t>https://ei-core-02.apo.epson.net/prozou/html/document/view/313541180000000000000000000000000000/1</t>
  </si>
  <si>
    <t>GF-0016</t>
  </si>
  <si>
    <t>「受注管理｣_戻入処理基準</t>
  </si>
  <si>
    <t>https://ei-core-02.apo.epson.net/prozou/html/document/view/313537140000000000000000000000000000/1</t>
  </si>
  <si>
    <t>GF-0019</t>
  </si>
  <si>
    <t>「計画統制」_見積依頼決裁基準</t>
  </si>
  <si>
    <t>https://ei-core-02.apo.epson.net/prozou/html/document/view/313537650000000000000000000000000000/1</t>
  </si>
  <si>
    <t>GF-0020</t>
  </si>
  <si>
    <t>「在庫管理」_ﾛｯﾄ飛び検数実施基準</t>
  </si>
  <si>
    <t>https://ei-core-02.apo.epson.net/prozou/html/document/view/313537960000000000000000000000000000/1</t>
  </si>
  <si>
    <t>GF-0021</t>
  </si>
  <si>
    <t>「在庫管理」_液晶ﾊﾟﾈﾙﾓｼﾞｭｰﾙ長期保管品の識別及び品質劣化確認手順</t>
  </si>
  <si>
    <t>https://ei-core-02.apo.epson.net/prozou/html/document/view/313537660000000000000000000000000000/1</t>
  </si>
  <si>
    <t>GF-0033</t>
  </si>
  <si>
    <t>「試作例外作業」_試作･特注･例外作業の業務処理基準</t>
  </si>
  <si>
    <t>https://ei-core-02.apo.epson.net/prozou/html/document/view/313537690000000000000000000000000000/1</t>
  </si>
  <si>
    <t>GF-0048</t>
  </si>
  <si>
    <t>物流部門における出荷枠印運用業務処理基準</t>
  </si>
  <si>
    <t>https://ei-core-02.apo.epson.net/prozou/html/document/view/313539660000000000000000000000000000/1</t>
  </si>
  <si>
    <t>GF-0049</t>
  </si>
  <si>
    <t>出荷_完成品_商流仲介_業務処理基準</t>
  </si>
  <si>
    <t>https://ei-core-02.apo.epson.net/prozou/html/document/view/313537830000000000000000000000000000/1</t>
  </si>
  <si>
    <t>GF-0050</t>
  </si>
  <si>
    <t>売上計上_完成品_商流仲介_業務処理基準</t>
  </si>
  <si>
    <t>https://ei-core-02.apo.epson.net/prozou/html/document/view/313537840000000000000000000000000000/1</t>
  </si>
  <si>
    <t>GF-0054</t>
  </si>
  <si>
    <t>外注加工品仕入計上の業務基準</t>
  </si>
  <si>
    <t>https://ei-core-02.apo.epson.net/prozou/html/document/view/313536650000000000000000000000000000/1</t>
  </si>
  <si>
    <t>GF-0057</t>
  </si>
  <si>
    <t>アフターサービスパーツ手配基準</t>
  </si>
  <si>
    <t>https://ei-core-02.apo.epson.net/prozou/html/document/view/313536660000000000000000000000000000/1</t>
  </si>
  <si>
    <t>GF-0058</t>
  </si>
  <si>
    <t>海外現法向け有償支給部品_単価設定基準</t>
  </si>
  <si>
    <t>https://ei-core-02.apo.epson.net/prozou/html/document/view/313536670000000000000000000000000000/1</t>
  </si>
  <si>
    <t>GF-0061</t>
  </si>
  <si>
    <t>金型の更新と増面の時期把握業務</t>
  </si>
  <si>
    <t>https://ei-core-02.apo.epson.net/prozou/html/document/view/313536770000000000000000000000000000/1</t>
  </si>
  <si>
    <t>GF-0064</t>
  </si>
  <si>
    <t>「計画統制」_製造月度・小日程計画の配布業務</t>
  </si>
  <si>
    <t>https://ei-core-02.apo.epson.net/prozou/html/document/view/313537670000000000000000000000000000/1</t>
  </si>
  <si>
    <t>GF-0065</t>
  </si>
  <si>
    <t>_「計画統制」_製造月度・小日程計画制定・変更基準</t>
  </si>
  <si>
    <t>https://ei-core-02.apo.epson.net/prozou/html/document/view/313537680000000000000000000000000000/1</t>
  </si>
  <si>
    <t>GF-0068</t>
  </si>
  <si>
    <t>「海外OP」_有償支給部品の単価決定基準(ライトバルブ及びその関連部材）</t>
  </si>
  <si>
    <t>https://ei-core-02.apo.epson.net/prozou/html/document/view/313538190000000000000000000000000000/1</t>
  </si>
  <si>
    <t>GF-0069</t>
  </si>
  <si>
    <t>メカ・外装/エレキ/光学_購買発注業務処理基準</t>
  </si>
  <si>
    <t>https://ei-core-02.apo.epson.net/prozou/html/document/view/313536790000000000000000000000000000/1</t>
  </si>
  <si>
    <t>GF-0070</t>
  </si>
  <si>
    <t>メカ・外装/エレキ/光学_購買検収業務処理基準</t>
  </si>
  <si>
    <t>https://ei-core-02.apo.epson.net/prozou/html/document/view/313536800000000000000000000000000000/1</t>
  </si>
  <si>
    <t>GF-0071</t>
  </si>
  <si>
    <t>「金型イニシャル費管理表」の運用基準</t>
  </si>
  <si>
    <t>https://ei-core-02.apo.epson.net/prozou/html/document/view/313536780000000000000000000000000000/1</t>
  </si>
  <si>
    <t>GF-0072</t>
  </si>
  <si>
    <t>海外現法と事業部間のコスト情報共有基準</t>
  </si>
  <si>
    <t>https://ei-core-02.apo.epson.net/prozou/html/document/view/313536810000000000000000000000000000/1</t>
  </si>
  <si>
    <t>GF-0076</t>
  </si>
  <si>
    <t>調達BCPにおける取引先情報取り扱い業務処理基準</t>
  </si>
  <si>
    <t>https://ei-core-02.apo.epson.net/prozou/html/document/view/313537130000000000000000000000000000/1</t>
  </si>
  <si>
    <t>GF-0077</t>
  </si>
  <si>
    <t>有事発生時の初動対応・復旧行動手順（調達BCP）</t>
  </si>
  <si>
    <t>https://ei-core-02.apo.epson.net/prozou/html/document/view/313537120000000000000000000000000000/1</t>
  </si>
  <si>
    <t>GF-0078</t>
  </si>
  <si>
    <t>危険有害物質の輸出・保管梱包に係わる管理基準</t>
  </si>
  <si>
    <t>https://ei-core-02.apo.epson.net/prozou/html/document/view/313536940000000000000000000000000000/1</t>
  </si>
  <si>
    <t>GF-0079</t>
  </si>
  <si>
    <t>調達先定期評価業務処理基準</t>
  </si>
  <si>
    <t>https://ei-core-02.apo.epson.net/prozou/html/document/view/313540630000000000000000000000000000/1</t>
  </si>
  <si>
    <t>GF-0084</t>
  </si>
  <si>
    <t>調達業務従事者担当取引先変更管理基準</t>
  </si>
  <si>
    <t>https://ei-core-02.apo.epson.net/prozou/html/document/view/313537060000000000000000000000000000/1</t>
  </si>
  <si>
    <t>GF-0086</t>
  </si>
  <si>
    <t>機械装置の保守契約運用基準</t>
  </si>
  <si>
    <t>https://ei-core-02.apo.epson.net/prozou/html/document/view/313540150000000000000000000000000000/1</t>
  </si>
  <si>
    <t>GF-0087</t>
  </si>
  <si>
    <t>調達BCPにおける調達先情報取り扱い業務処理基準</t>
  </si>
  <si>
    <t>https://ei-core-02.apo.epson.net/prozou/html/document/view/313537510000000000000000000000000000/1</t>
  </si>
  <si>
    <t>GF-0088</t>
  </si>
  <si>
    <t>VISMASアカウント管理手続業務処理基準</t>
  </si>
  <si>
    <t>https://ei-core-02.apo.epson.net/prozou/html/document/view/313537730000000000000000000000000000/1</t>
  </si>
  <si>
    <t>GF-0089</t>
  </si>
  <si>
    <t>ブラジル製造委託_業務処理基準</t>
  </si>
  <si>
    <t>https://ei-core-02.apo.epson.net/prozou/html/document/view/313537780000000000000000000000000000/1</t>
  </si>
  <si>
    <t>GF-0090</t>
  </si>
  <si>
    <t>受注_完成品_業務処理基準</t>
  </si>
  <si>
    <t>https://ei-core-02.apo.epson.net/prozou/html/document/view/313537800000000000000000000000000000/1</t>
  </si>
  <si>
    <t>GF-0091</t>
  </si>
  <si>
    <t>出荷_完成品_国内販売会社向け_業務処理基準</t>
  </si>
  <si>
    <t>https://ei-core-02.apo.epson.net/prozou/html/document/view/313537810000000000000000000000000000/1</t>
  </si>
  <si>
    <t>GF-0092</t>
  </si>
  <si>
    <t>輸出_完成品_海外販売会社向け_業務処理基準</t>
  </si>
  <si>
    <t>https://ei-core-02.apo.epson.net/prozou/html/document/view/313537820000000000000000000000000000/1</t>
  </si>
  <si>
    <t>GF-0093</t>
  </si>
  <si>
    <t>発注_完成品_商流仲介_業務処理基準</t>
  </si>
  <si>
    <t>https://ei-core-02.apo.epson.net/prozou/html/document/view/313538020000000000000000000000000000/1</t>
  </si>
  <si>
    <t>GF-0094</t>
  </si>
  <si>
    <t>全般_完成品_月次製販_業務処理基準</t>
  </si>
  <si>
    <t>https://ei-core-02.apo.epson.net/prozou/html/document/view/313538060000000000000000000000000000/1</t>
  </si>
  <si>
    <t>GF-0095</t>
  </si>
  <si>
    <t>受領_完成品_商流仲介_業務処理基準</t>
  </si>
  <si>
    <t>https://ei-core-02.apo.epson.net/prozou/html/document/view/313538030000000000000000000000000000/1</t>
  </si>
  <si>
    <t>GF-0096</t>
  </si>
  <si>
    <t>EOL管理_完成品_業務処理基準</t>
  </si>
  <si>
    <t>https://ei-core-02.apo.epson.net/prozou/html/document/view/313537850000000000000000000000000000/1</t>
  </si>
  <si>
    <t>GF-0097</t>
  </si>
  <si>
    <t>事業部出荷_交換用梱包箱_販売価格決定基準</t>
  </si>
  <si>
    <t>https://ei-core-02.apo.epson.net/prozou/html/document/view/313538000000000000000000000000000000/1</t>
  </si>
  <si>
    <t>GF-0098</t>
  </si>
  <si>
    <t>売上計上_ECCロイヤリティ_業務処理基準</t>
  </si>
  <si>
    <t>https://ei-core-02.apo.epson.net/prozou/html/document/view/313538040000000000000000000000000000/1</t>
  </si>
  <si>
    <t>GF-0099</t>
  </si>
  <si>
    <t>航空輸送_運用基準</t>
  </si>
  <si>
    <t>https://ei-core-02.apo.epson.net/prozou/html/document/view/313538050000000000000000000000000000/1</t>
  </si>
  <si>
    <t>GF-0100</t>
  </si>
  <si>
    <t>支払方法等について_通知手続き基準</t>
  </si>
  <si>
    <t>https://ei-core-02.apo.epson.net/prozou/html/document/view/313538070000000000000000000000000000/1</t>
  </si>
  <si>
    <t>GF-0101</t>
  </si>
  <si>
    <t>_電気錠の権限管理_業務処理基準</t>
  </si>
  <si>
    <t>https://ei-core-02.apo.epson.net/prozou/html/document/view/313538170000000000000000000000000000/1</t>
  </si>
  <si>
    <t>GF-0102</t>
  </si>
  <si>
    <t>海外取引きの租税条約手続き</t>
  </si>
  <si>
    <t>https://ei-core-02.apo.epson.net/prozou/html/document/view/313538450000000000000000000000000000/1</t>
  </si>
  <si>
    <t>GF-0103</t>
  </si>
  <si>
    <t>海外現法向け有償支給部品_単価設定基準_</t>
  </si>
  <si>
    <t>https://ei-core-02.apo.epson.net/prozou/html/document/view/313538670000000000000000000000000000/1</t>
  </si>
  <si>
    <t>GF-0105</t>
  </si>
  <si>
    <t>EPPIからのパネル返品処理業務処理基準</t>
  </si>
  <si>
    <t>https://ei-core-02.apo.epson.net/prozou/html/document/view/313538740000000000000000000000000000/1</t>
  </si>
  <si>
    <t>GF-0106</t>
  </si>
  <si>
    <t>https://ei-core-02.apo.epson.net/prozou/html/document/view/313539650000000000000000000000000000/1</t>
  </si>
  <si>
    <t>GF-0107</t>
  </si>
  <si>
    <t>出荷枠印運用基準</t>
  </si>
  <si>
    <t>https://ei-core-02.apo.epson.net/prozou/html/document/view/313539670000000000000000000000000000/1</t>
  </si>
  <si>
    <t>GF-0108</t>
  </si>
  <si>
    <t>鉱物調達調査の補足手順書</t>
  </si>
  <si>
    <t>https://ei-core-02.apo.epson.net/prozou/html/document/view/313539910000000000000000000000000000/1</t>
  </si>
  <si>
    <t>GF-0109</t>
  </si>
  <si>
    <t>事業所水害発生時の部品退避手順（調達BCP）</t>
  </si>
  <si>
    <t>https://ei-core-02.apo.epson.net/prozou/html/document/view/313540770000000000000000000000000000/1639631</t>
  </si>
  <si>
    <t>GF-0110</t>
  </si>
  <si>
    <t>KE偏光板第三者販売先管理基準</t>
  </si>
  <si>
    <t>https://ei-core-02.apo.epson.net/prozou/html/document/view/313541050000000000000000000000000000/1</t>
  </si>
  <si>
    <t>GG-0004</t>
  </si>
  <si>
    <t>光学エンジン/LSM/POP/MAB着荷不良品(DOA)の処理方法について</t>
  </si>
  <si>
    <t>https://ei-core-02.apo.epson.net/prozou/html/document/view/313540320000000000000000000000000000/1</t>
  </si>
  <si>
    <t>QA_CS</t>
  </si>
  <si>
    <t>GG-0005</t>
  </si>
  <si>
    <t>公的規格管理（閲覧）基準</t>
  </si>
  <si>
    <t>https://ei-core-02.apo.epson.net/prozou/html/document/view/313537880000000000000000000000000000/1</t>
  </si>
  <si>
    <t>GG-0006</t>
  </si>
  <si>
    <t>指図（個別オーダー）管理基準</t>
  </si>
  <si>
    <t>https://ei-core-02.apo.epson.net/prozou/html/document/view/313539310000000000000000000000000000/1</t>
  </si>
  <si>
    <t>GG-0007</t>
  </si>
  <si>
    <t>https://ei-core-02.apo.epson.net/prozou/html/document/view/313537890000000000000000000000000000/1</t>
  </si>
  <si>
    <t>GG-0008</t>
  </si>
  <si>
    <t>校正対象計測器管理主管部門_業務処理基準</t>
  </si>
  <si>
    <t>https://ei-core-02.apo.epson.net/prozou/html/document/view/313536220000000000000000000000000000/1464038</t>
  </si>
  <si>
    <t>GG-0009</t>
  </si>
  <si>
    <t>ISO9001_認証書及びロゴ（認証マーク）管理基準</t>
  </si>
  <si>
    <t>https://ei-core-02.apo.epson.net/prozou/html/document/view/313536230000000000000000000000000000/1</t>
  </si>
  <si>
    <t>GG-0010</t>
  </si>
  <si>
    <t>海外修理拠点の調整データ登録手順</t>
  </si>
  <si>
    <t>https://ei-core-02.apo.epson.net/prozou/html/document/view/313539710000000000000000000000000000/1</t>
  </si>
  <si>
    <t>GG-0011</t>
  </si>
  <si>
    <t>光学エンジン修理用画像調整プログラムの配布</t>
  </si>
  <si>
    <t>https://ei-core-02.apo.epson.net/prozou/html/document/view/313536240000000000000000000000000000/1</t>
  </si>
  <si>
    <t>GG-0012</t>
  </si>
  <si>
    <t>中国省エネ認証の取得に関わる業務基準</t>
  </si>
  <si>
    <t>https://ei-core-02.apo.epson.net/prozou/html/document/view/313538650000000000000000000000000000/1</t>
  </si>
  <si>
    <t>GG-0013</t>
  </si>
  <si>
    <t>メキシコ省エネラベル対応業務処理基準</t>
  </si>
  <si>
    <t>https://ei-core-02.apo.epson.net/prozou/html/document/view/313536250000000000000000000000000000/1</t>
  </si>
  <si>
    <t>GG-0014</t>
  </si>
  <si>
    <t>エコロジープロファイル運用基準</t>
  </si>
  <si>
    <t>https://ei-core-02.apo.epson.net/prozou/html/document/view/313536260000000000000000000000000000/1</t>
  </si>
  <si>
    <t>GG-0015</t>
  </si>
  <si>
    <t>設備日常点検運用基準</t>
  </si>
  <si>
    <t>https://ei-core-02.apo.epson.net/prozou/html/document/view/313536280000000000000000000000000000/1</t>
  </si>
  <si>
    <t>GG-0016</t>
  </si>
  <si>
    <t>事業部－海外現法の業務分担表</t>
  </si>
  <si>
    <t>https://ei-core-02.apo.epson.net/prozou/html/document/view/313536290000000000000000000000000000/1</t>
  </si>
  <si>
    <t>GG-0021</t>
  </si>
  <si>
    <t>ＬＣＰ出荷保証仕様書作成～制定基準</t>
  </si>
  <si>
    <t>https://ei-core-02.apo.epson.net/prozou/html/document/view/313536310000000000000000000000000000/1</t>
  </si>
  <si>
    <t>GG-0023</t>
  </si>
  <si>
    <t>受入・出荷検査不合格・警告連絡票／対策回答書運用ルール</t>
  </si>
  <si>
    <t>https://ei-core-02.apo.epson.net/prozou/html/document/view/313536320000000000000000000000000000/1</t>
  </si>
  <si>
    <t>GG-0024</t>
  </si>
  <si>
    <t>ＬＣＰ出荷検査規格書作成～発行基準</t>
  </si>
  <si>
    <t>https://ei-core-02.apo.epson.net/prozou/html/document/view/313536330000000000000000000000000000/1</t>
  </si>
  <si>
    <t>GG-0025</t>
  </si>
  <si>
    <t>ＬＣＰ出荷検査結果記録帳票類の基準</t>
  </si>
  <si>
    <t>https://ei-core-02.apo.epson.net/prozou/html/document/view/313536340000000000000000000000000000/1</t>
  </si>
  <si>
    <t>GG-0026</t>
  </si>
  <si>
    <t>https://ei-core-02.apo.epson.net/prozou/html/document/view/313536350000000000000000000000000000/1</t>
  </si>
  <si>
    <t>GG-0027</t>
  </si>
  <si>
    <t>出荷検査時の不具合品処理基準</t>
  </si>
  <si>
    <t>https://ei-core-02.apo.epson.net/prozou/html/document/view/313536360000000000000000000000000000/1</t>
  </si>
  <si>
    <t>GG-0028</t>
  </si>
  <si>
    <t>LCP販社独自調達評価～確認基準</t>
  </si>
  <si>
    <t>https://ei-core-02.apo.epson.net/prozou/html/document/view/313536370000000000000000000000000000/1</t>
  </si>
  <si>
    <t>GG-0029</t>
  </si>
  <si>
    <t>取引先生産中止による権限解除と記録回収の業務処理基準</t>
  </si>
  <si>
    <t>https://ei-core-02.apo.epson.net/prozou/html/document/view/313536380000000000000000000000000000/1</t>
  </si>
  <si>
    <t>GG-0030</t>
  </si>
  <si>
    <t>輸出規制に対する出荷管理基準（品保）</t>
  </si>
  <si>
    <t>https://ei-core-02.apo.epson.net/prozou/html/document/view/313536390000000000000000000000000000/1</t>
  </si>
  <si>
    <t>GG-0031</t>
  </si>
  <si>
    <t>ＬＣＰ製品の顧客要求による証明発行業務処理基準</t>
  </si>
  <si>
    <t>https://ei-core-02.apo.epson.net/prozou/html/document/view/313537630000000000000000000000000000/1</t>
  </si>
  <si>
    <t>GG-0034</t>
  </si>
  <si>
    <t>LCP_EMC量産品質確認試験_業務処理基準</t>
  </si>
  <si>
    <t>https://ei-core-02.apo.epson.net/prozou/html/document/view/313540080000000000000000000000000000/1</t>
  </si>
  <si>
    <t>GG-0036</t>
  </si>
  <si>
    <t>重要品質問題（ランクC）業務処理基準</t>
  </si>
  <si>
    <t>https://ei-core-02.apo.epson.net/prozou/html/document/view/313537770000000000000000000000000000/1</t>
  </si>
  <si>
    <t>GG-0039</t>
  </si>
  <si>
    <t>LCP_周辺機器の機種別ｼﾘｱﾙ添付基準</t>
  </si>
  <si>
    <t>https://ei-core-02.apo.epson.net/prozou/html/document/view/313536400000000000000000000000000000/1</t>
  </si>
  <si>
    <t>GG-0040</t>
  </si>
  <si>
    <t>_解析依頼業務_処理基準</t>
  </si>
  <si>
    <t>https://ei-core-02.apo.epson.net/prozou/html/document/view/313536410000000000000000000000000000/1</t>
  </si>
  <si>
    <t>GG-0041</t>
  </si>
  <si>
    <t>_市場品質情報_業務処理基準</t>
  </si>
  <si>
    <t>https://ei-core-02.apo.epson.net/prozou/html/document/view/313536420000000000000000000000000000/1</t>
  </si>
  <si>
    <t>GG-0042</t>
  </si>
  <si>
    <t>_製造要因不良処理_業務処理基準</t>
  </si>
  <si>
    <t>https://ei-core-02.apo.epson.net/prozou/html/document/view/313536430000000000000000000000000000/1</t>
  </si>
  <si>
    <t>GG-0043</t>
  </si>
  <si>
    <t>_市場戻入ランプ処理における運用基準</t>
  </si>
  <si>
    <t>https://ei-core-02.apo.epson.net/prozou/html/document/view/313536440000000000000000000000000000/1</t>
  </si>
  <si>
    <t>GG-0044</t>
  </si>
  <si>
    <t>債権・債務計上処理業務処理基準</t>
  </si>
  <si>
    <t>https://ei-core-02.apo.epson.net/prozou/html/document/view/313537940000000000000000000000000000/1</t>
  </si>
  <si>
    <t>GG-0047</t>
  </si>
  <si>
    <t>四半期決算における経理報告に関する業務処理基準</t>
  </si>
  <si>
    <t>https://ei-core-02.apo.epson.net/prozou/html/document/view/313536450000000000000000000000000000/1</t>
  </si>
  <si>
    <t>GG-0048</t>
  </si>
  <si>
    <t>LCP製品向けサービスマニュアル作成・管理業務処理基準</t>
  </si>
  <si>
    <t>https://ei-core-02.apo.epson.net/prozou/html/document/view/313540460000000000000000000000000000/1</t>
  </si>
  <si>
    <t>GG-0049</t>
  </si>
  <si>
    <t>品質問題発生時の部品発注および出荷手順</t>
  </si>
  <si>
    <t>https://ei-core-02.apo.epson.net/prozou/html/document/view/313538010000000000000000000000000000/1</t>
  </si>
  <si>
    <t>GG-0050</t>
  </si>
  <si>
    <t>非居住者への技術提供運用基準</t>
  </si>
  <si>
    <t>https://ei-core-02.apo.epson.net/prozou/html/document/view/313540730000000000000000000000000000/1</t>
  </si>
  <si>
    <t>GG-0051</t>
  </si>
  <si>
    <t>基幹外輸出の業務フロー</t>
  </si>
  <si>
    <t>https://ei-core-02.apo.epson.net/prozou/html/document/view/313540740000000000000000000000000000/1</t>
  </si>
  <si>
    <t>GG-0052</t>
  </si>
  <si>
    <t>輸出管理申請システム運用基準</t>
  </si>
  <si>
    <t>https://ei-core-02.apo.epson.net/prozou/html/document/view/313540720000000000000000000000000000/1</t>
  </si>
  <si>
    <t>GG-0053</t>
  </si>
  <si>
    <t>ハンドキャリーの明確化</t>
  </si>
  <si>
    <t>https://ei-core-02.apo.epson.net/prozou/html/document/view/313538240000000000000000000000000000/1</t>
  </si>
  <si>
    <t>GG-0057</t>
  </si>
  <si>
    <t>テクニカルインフォメーション作成基準</t>
  </si>
  <si>
    <t>https://ei-core-02.apo.epson.net/prozou/html/document/view/313536460000000000000000000000000000/1</t>
  </si>
  <si>
    <t>GG-0059</t>
  </si>
  <si>
    <t>ASP返品業務処理基準</t>
  </si>
  <si>
    <t>https://ei-core-02.apo.epson.net/prozou/html/document/view/313538130000000000000000000000000000/1</t>
  </si>
  <si>
    <t>GG-0060</t>
  </si>
  <si>
    <t>ASP売上計上業務処理基準</t>
  </si>
  <si>
    <t>https://ei-core-02.apo.epson.net/prozou/html/document/view/313536470000000000000000000000000000/1</t>
  </si>
  <si>
    <t>GG-0061</t>
  </si>
  <si>
    <t>ASP品質クレーム対応業務処理基準</t>
  </si>
  <si>
    <t>https://ei-core-02.apo.epson.net/prozou/html/document/view/313540330000000000000000000000000000/1</t>
  </si>
  <si>
    <t>GG-0065</t>
  </si>
  <si>
    <t>AS関連業務処理基準</t>
  </si>
  <si>
    <t>https://ei-core-02.apo.epson.net/prozou/html/document/view/313540680000000000000000000000000000/1</t>
  </si>
  <si>
    <t>GG-0068</t>
  </si>
  <si>
    <t>新製品立ち上げ時の「AS推進日程」作成業務処理基準</t>
  </si>
  <si>
    <t>https://ei-core-02.apo.epson.net/prozou/html/document/view/313540360000000000000000000000000000/1</t>
  </si>
  <si>
    <t>GG-0073</t>
  </si>
  <si>
    <t>_放散物質測定_業務処理基準</t>
  </si>
  <si>
    <t>https://ei-core-02.apo.epson.net/prozou/html/document/view/313536600000000000000000000000000000/1</t>
  </si>
  <si>
    <t>GG-0074</t>
  </si>
  <si>
    <t>完成品からの部品取り業務処理基準</t>
  </si>
  <si>
    <t>https://ei-core-02.apo.epson.net/prozou/html/document/view/313536610000000000000000000000000000/1</t>
  </si>
  <si>
    <t>GG-0075</t>
  </si>
  <si>
    <t>事業部部品保管倉庫入出庫業務処理基準</t>
  </si>
  <si>
    <t>https://ei-core-02.apo.epson.net/prozou/html/document/view/313536620000000000000000000000000000/1</t>
  </si>
  <si>
    <t>GG-0076</t>
  </si>
  <si>
    <t>ASP生涯所要量算出業務処理基準</t>
  </si>
  <si>
    <t>https://ei-core-02.apo.epson.net/prozou/html/document/view/313536630000000000000000000000000000/1</t>
  </si>
  <si>
    <t>GG-0077</t>
  </si>
  <si>
    <t>ASP生涯発注部品残量管理業務処理基準（メカ部品）</t>
  </si>
  <si>
    <t>https://ei-core-02.apo.epson.net/prozou/html/document/view/313536640000000000000000000000000000/1</t>
  </si>
  <si>
    <t>GG-0079</t>
  </si>
  <si>
    <t>ASパ－ツ(接着剤)販売の受付-出荷までの運用についての処理基準</t>
  </si>
  <si>
    <t>https://ei-core-02.apo.epson.net/prozou/html/document/view/313538200000000000000000000000000000/1</t>
  </si>
  <si>
    <t>GG-0082</t>
  </si>
  <si>
    <t>棚卸資産稟議廃却業務処理基準</t>
  </si>
  <si>
    <t>https://ei-core-02.apo.epson.net/prozou/html/document/view/313536710000000000000000000000000000/1</t>
  </si>
  <si>
    <t>GG-0083</t>
  </si>
  <si>
    <t>品質情報ＤＢ「納入仕様書」の承認運用基準</t>
  </si>
  <si>
    <t>https://ei-core-02.apo.epson.net/prozou/html/document/view/313536720000000000000000000000000000/1</t>
  </si>
  <si>
    <t>GG-0084</t>
  </si>
  <si>
    <t>品質保証基準書取り交し基準</t>
  </si>
  <si>
    <t>https://ei-core-02.apo.epson.net/prozou/html/document/view/313536730000000000000000000000000000/1</t>
  </si>
  <si>
    <t>GG-0085</t>
  </si>
  <si>
    <t>定量在庫設定業務処理基準</t>
  </si>
  <si>
    <t>https://ei-core-02.apo.epson.net/prozou/html/document/view/313536740000000000000000000000000000/1</t>
  </si>
  <si>
    <t>GG-0087</t>
  </si>
  <si>
    <t>アフターサービスパーツ設定の考え方と供給期間</t>
  </si>
  <si>
    <t>https://ei-core-02.apo.epson.net/prozou/html/document/view/313539490000000000000000000000000000/1</t>
  </si>
  <si>
    <t>GG-0088</t>
  </si>
  <si>
    <t>LCP周辺機器/オプションの受入・出荷検査規格作成と発行ルール</t>
  </si>
  <si>
    <t>https://ei-core-02.apo.epson.net/prozou/html/document/view/313536830000000000000000000000000000/1</t>
  </si>
  <si>
    <t>GG-0090</t>
  </si>
  <si>
    <t>LCP周辺機器の機種別シリアル番号表示基準</t>
  </si>
  <si>
    <t>https://ei-core-02.apo.epson.net/prozou/html/document/view/313536840000000000000000000000000000/1</t>
  </si>
  <si>
    <t>GG-0099</t>
  </si>
  <si>
    <t>エコマーク申請資料作成業務処理基準</t>
  </si>
  <si>
    <t>https://ei-core-02.apo.epson.net/prozou/html/document/view/313536870000000000000000000000000000/1</t>
  </si>
  <si>
    <t>GG-0100</t>
  </si>
  <si>
    <t>事業部基準制改廃作業手順（事務局版）業務処理基準</t>
  </si>
  <si>
    <t>https://ei-core-02.apo.epson.net/prozou/html/document/view/313536880000000000000000000000000000/1</t>
  </si>
  <si>
    <t>GG-0102</t>
  </si>
  <si>
    <t>_中期品質目標、中期環境目標設定基準</t>
  </si>
  <si>
    <t>https://ei-core-02.apo.epson.net/prozou/html/document/view/313536890000000000000000000000000000/1</t>
  </si>
  <si>
    <t>GG-0103</t>
  </si>
  <si>
    <t>ASP日本出荷業務処理基準</t>
  </si>
  <si>
    <t>https://ei-core-02.apo.epson.net/prozou/html/document/view/313537460000000000000000000000000000/1</t>
  </si>
  <si>
    <t>GG-0104</t>
  </si>
  <si>
    <t>ASP受発注業務処理基準書</t>
  </si>
  <si>
    <t>https://ei-core-02.apo.epson.net/prozou/html/document/view/313537470000000000000000000000000000/1</t>
  </si>
  <si>
    <t>GG-0105</t>
  </si>
  <si>
    <t>ASP商流仲介出荷業務処理基準_</t>
  </si>
  <si>
    <t>https://ei-core-02.apo.epson.net/prozou/html/document/view/313538160000000000000000000000000000/1</t>
  </si>
  <si>
    <t>GG-0106</t>
  </si>
  <si>
    <t>信頼性試験業務</t>
  </si>
  <si>
    <t>https://ei-core-02.apo.epson.net/prozou/html/document/view/313541250000000000000000000000000000/1758383</t>
  </si>
  <si>
    <t>GG-0108</t>
  </si>
  <si>
    <t>アフターサービスパーツ設定業務処理基準</t>
  </si>
  <si>
    <t>https://ei-core-02.apo.epson.net/prozou/html/document/view/313540690000000000000000000000000000/1</t>
  </si>
  <si>
    <t>GG-0109</t>
  </si>
  <si>
    <t>ASP日本出荷梱包基準</t>
  </si>
  <si>
    <t>https://ei-core-02.apo.epson.net/prozou/html/document/view/313538140000000000000000000000000000/1</t>
  </si>
  <si>
    <t>GG-0112</t>
  </si>
  <si>
    <t>アフターサービスパーツ命名ルール業務処理基準</t>
  </si>
  <si>
    <t>https://ei-core-02.apo.epson.net/prozou/html/document/view/313540700000000000000000000000000000/1</t>
  </si>
  <si>
    <t>GG-0115</t>
  </si>
  <si>
    <t>LSM出荷TAT遵守維持・定着化のための管理業務</t>
  </si>
  <si>
    <t>https://ei-core-02.apo.epson.net/prozou/html/document/view/313537980000000000000000000000000000/1481037</t>
  </si>
  <si>
    <t>REPAIR</t>
  </si>
  <si>
    <t>GG-0117</t>
  </si>
  <si>
    <t>光学エンジン修理作業費算出業務処理基準</t>
  </si>
  <si>
    <t>https://ei-core-02.apo.epson.net/prozou/html/document/view/313537000000000000000000000000000000/1</t>
  </si>
  <si>
    <t>OER</t>
  </si>
  <si>
    <t>GG-0119</t>
  </si>
  <si>
    <t>販社向け製品トレーニング業務推進基準</t>
  </si>
  <si>
    <t>https://ei-core-02.apo.epson.net/prozou/html/document/view/313537020000000000000000000000000000/1</t>
  </si>
  <si>
    <t>GG-0120</t>
  </si>
  <si>
    <t>デザインレビュー事前チェックリスト運用_業務処理基準</t>
  </si>
  <si>
    <t>https://ei-core-02.apo.epson.net/prozou/html/document/view/313539690000000000000000000000000000/1</t>
  </si>
  <si>
    <t>GG-0121</t>
  </si>
  <si>
    <t>事業部光学エンジン修理_新製品梱包仕様基準</t>
  </si>
  <si>
    <t>https://ei-core-02.apo.epson.net/prozou/html/document/view/313539390000000000000000000000000000/1</t>
  </si>
  <si>
    <t>GG-0122</t>
  </si>
  <si>
    <t>輸出貨物重量の確定業務処理基準（海上・ＡＩＲ輸出）</t>
  </si>
  <si>
    <t>https://ei-core-02.apo.epson.net/prozou/html/document/view/313537070000000000000000000000000000/1490588</t>
  </si>
  <si>
    <t>GG-0123</t>
  </si>
  <si>
    <t>部品変更時の光学エンジン修理方法対応_業務処理基準</t>
  </si>
  <si>
    <t>https://ei-core-02.apo.epson.net/prozou/html/document/view/313537080000000000000000000000000000/1</t>
  </si>
  <si>
    <t>GG-0124</t>
  </si>
  <si>
    <t>サービス・サポート要求品質検討及び修理性評価業務処理基準</t>
  </si>
  <si>
    <t>https://ei-core-02.apo.epson.net/prozou/html/document/view/313540340000000000000000000000000000/1</t>
  </si>
  <si>
    <t>GG-0127</t>
  </si>
  <si>
    <t>品質評価用製品管理基準</t>
  </si>
  <si>
    <t>https://ei-core-02.apo.epson.net/prozou/html/document/view/313537160000000000000000000000000000/1</t>
  </si>
  <si>
    <t>GG-0128</t>
  </si>
  <si>
    <t>プレセールス技術サポート_業務処理基準</t>
  </si>
  <si>
    <t>https://ei-core-02.apo.epson.net/prozou/html/document/view/313537180000000000000000000000000000/1</t>
  </si>
  <si>
    <t>GG-0130</t>
  </si>
  <si>
    <t>新製品リスク部内検討運用基準</t>
  </si>
  <si>
    <t>https://ei-core-02.apo.epson.net/prozou/html/document/view/313540400000000000000000000000000000/1</t>
  </si>
  <si>
    <t>GG-0131</t>
  </si>
  <si>
    <t>LCP製品測定用照度計校正手順書</t>
  </si>
  <si>
    <t>https://ei-core-02.apo.epson.net/prozou/html/document/view/313539930000000000000000000000000000/1</t>
  </si>
  <si>
    <t>GG-0132</t>
  </si>
  <si>
    <t>検査マトリックス作成・活用_基準</t>
  </si>
  <si>
    <t>https://ei-core-02.apo.epson.net/prozou/html/document/view/313537480000000000000000000000000000/1</t>
  </si>
  <si>
    <t>GG-0133</t>
  </si>
  <si>
    <t>品質企画書制定_運用基準</t>
  </si>
  <si>
    <t>https://ei-core-02.apo.epson.net/prozou/html/document/view/313537420000000000000000000000000000/1862142</t>
  </si>
  <si>
    <t>GG-0134</t>
  </si>
  <si>
    <t>BSPS発行業務処理基準</t>
  </si>
  <si>
    <t>https://ei-core-02.apo.epson.net/prozou/html/document/view/313539330000000000000000000000000000/1</t>
  </si>
  <si>
    <t>GG-0135</t>
  </si>
  <si>
    <t>LCP製品測定用照度計校正者教育訓練基準</t>
  </si>
  <si>
    <t>https://ei-core-02.apo.epson.net/prozou/html/document/view/313537700000000000000000000000000000/1</t>
  </si>
  <si>
    <t>GG-0139</t>
  </si>
  <si>
    <t>HSコードの登録手順</t>
  </si>
  <si>
    <t>https://ei-core-02.apo.epson.net/prozou/html/document/view/313538220000000000000000000000000000/1</t>
  </si>
  <si>
    <t>GG-0140</t>
  </si>
  <si>
    <t>梱包情報の管理方法（TOPICSⅡ）</t>
  </si>
  <si>
    <t>https://ei-core-02.apo.epson.net/prozou/html/document/view/313538270000000000000000000000000000/1</t>
  </si>
  <si>
    <t>GG-0141</t>
  </si>
  <si>
    <t>台湾RoHSの技術文書作成手順</t>
  </si>
  <si>
    <t>https://ei-core-02.apo.epson.net/prozou/html/document/view/313538280000000000000000000000000000/1</t>
  </si>
  <si>
    <t>GG-0142</t>
  </si>
  <si>
    <t>図面入手方法</t>
  </si>
  <si>
    <t>https://ei-core-02.apo.epson.net/prozou/html/document/view/313538290000000000000000000000000000/1</t>
  </si>
  <si>
    <t>GG-0144</t>
  </si>
  <si>
    <t>TCO：経理処理業務の運用基準</t>
  </si>
  <si>
    <t>https://ei-core-02.apo.epson.net/prozou/html/document/view/313538410000000000000000000000000000/1</t>
  </si>
  <si>
    <t>GG-0145</t>
  </si>
  <si>
    <t>シナリオ評価運用基準</t>
  </si>
  <si>
    <t>https://ei-core-02.apo.epson.net/prozou/html/document/view/313538680000000000000000000000000000/1</t>
  </si>
  <si>
    <t>GG-0146</t>
  </si>
  <si>
    <t>輸出入における貿易管理上の問題に関する主管部門への報告_業務処理基準</t>
  </si>
  <si>
    <t>https://ei-core-02.apo.epson.net/prozou/html/document/view/313540530000000000000000000000000000/1</t>
  </si>
  <si>
    <t>GG-0147</t>
  </si>
  <si>
    <t>新製品アフターサービスパーツの初回手配業務処理基準</t>
  </si>
  <si>
    <t>https://ei-core-02.apo.epson.net/prozou/html/document/view/313540350000000000000000000000000000/1</t>
  </si>
  <si>
    <t>GG-0149</t>
  </si>
  <si>
    <t>修理品異常及び工程異常連絡業務処理基準</t>
  </si>
  <si>
    <t>https://ei-core-02.apo.epson.net/prozou/html/document/view/313538760000000000000000000000000000/1</t>
  </si>
  <si>
    <t>GG-0150</t>
  </si>
  <si>
    <t>ASP組立検査規格書作成依頼業務処理基準</t>
  </si>
  <si>
    <t>https://ei-core-02.apo.epson.net/prozou/html/document/view/313538910000000000000000000000000000/1</t>
  </si>
  <si>
    <t>GG-0151</t>
  </si>
  <si>
    <t>アフターサービス用調整データ提供準備_業務処理基準</t>
  </si>
  <si>
    <t>https://ei-core-02.apo.epson.net/prozou/html/document/view/313538920000000000000000000000000000/1</t>
  </si>
  <si>
    <t>GG-0152</t>
  </si>
  <si>
    <t>顧客使用時間分布_業務処理基準</t>
  </si>
  <si>
    <t>https://ei-core-02.apo.epson.net/prozou/html/document/view/313539010000000000000000000000000000/1</t>
  </si>
  <si>
    <t>GG-0153</t>
  </si>
  <si>
    <t>市場予測故障率を基にした生涯SSコスト計算_業務処理基準</t>
  </si>
  <si>
    <t>https://ei-core-02.apo.epson.net/prozou/html/document/view/313539020000000000000000000000000000/1</t>
  </si>
  <si>
    <t>GG-0154</t>
  </si>
  <si>
    <t>事業部修理用_貯蔵品管理について</t>
  </si>
  <si>
    <t>https://ei-core-02.apo.epson.net/prozou/html/document/view/313539410000000000000000000000000000/1</t>
  </si>
  <si>
    <t>GG-0155</t>
  </si>
  <si>
    <t>サービスサポート要求仕様書（高光束ＰＪ共通）業務処理基準</t>
  </si>
  <si>
    <t>https://ei-core-02.apo.epson.net/prozou/html/document/view/313539030000000000000000000000000000/1</t>
  </si>
  <si>
    <t>GG-0156</t>
  </si>
  <si>
    <t>サービスサポート企画書_業務処理基準</t>
  </si>
  <si>
    <t>https://ei-core-02.apo.epson.net/prozou/html/document/view/313539040000000000000000000000000000/1</t>
  </si>
  <si>
    <t>GG-0158</t>
  </si>
  <si>
    <t>電子押印・電子サイン処理に関する業務処理基準</t>
  </si>
  <si>
    <t>https://ei-core-02.apo.epson.net/prozou/html/document/view/313539140000000000000000000000000000/1</t>
  </si>
  <si>
    <t>GG-0160</t>
  </si>
  <si>
    <t>_資産管理_公的認証機関に提出する製品の扱い</t>
  </si>
  <si>
    <t>https://ei-core-02.apo.epson.net/prozou/html/document/view/313539250000000000000000000000000000/1</t>
  </si>
  <si>
    <t>GG-0161</t>
  </si>
  <si>
    <t>事業部修理の作業標準書制定・改廃基準</t>
  </si>
  <si>
    <t>https://ei-core-02.apo.epson.net/prozou/html/document/view/313539380000000000000000000000000000/1</t>
  </si>
  <si>
    <t>GG-0162</t>
  </si>
  <si>
    <t>AS専用梱包材設計および評価依頼_業務処理基準</t>
  </si>
  <si>
    <t>https://ei-core-02.apo.epson.net/prozou/html/document/view/313540840000000000000000000000000000/1358440</t>
  </si>
  <si>
    <t>GG-0164</t>
  </si>
  <si>
    <t>品質問題の芽及び閻魔帳_業務処理基準</t>
  </si>
  <si>
    <t>https://ei-core-02.apo.epson.net/prozou/html/document/view/313540300000000000000000000000000000/1</t>
  </si>
  <si>
    <t>GG-0165</t>
  </si>
  <si>
    <t>市場解析品(資産管理対象外)に関する管理基準</t>
  </si>
  <si>
    <t>https://ei-core-02.apo.epson.net/prozou/html/document/view/313540390000000000000000000000000000/1</t>
  </si>
  <si>
    <t>GG-0166</t>
  </si>
  <si>
    <t>LENS_修理受付から出荷までの作業フロ－と手順</t>
  </si>
  <si>
    <t>https://ei-core-02.apo.epson.net/prozou/html/document/view/607636d3-e9d2-4072-8333-552661d2c35a/1865551</t>
  </si>
  <si>
    <t>GG-0064</t>
  </si>
  <si>
    <t>海外修理品_受付から出荷までの作業フロ－と手順</t>
  </si>
  <si>
    <t>https://ei-core-02.apo.epson.net/prozou/html/document/view/313538660000000000000000000000000000/1865752</t>
  </si>
  <si>
    <t>GG-0086</t>
  </si>
  <si>
    <t>AS用修理部品手配数決定方法と手配の業務処理基準</t>
  </si>
  <si>
    <t>https://ei-core-02.apo.epson.net/prozou/html/document/view/313536760000000000000000000000000000/1384047</t>
  </si>
  <si>
    <t>GG-0113</t>
  </si>
  <si>
    <t>ＡＳ用エンジン修理部品の在庫管理の考え方</t>
  </si>
  <si>
    <t>https://ei-core-02.apo.epson.net/prozou/html/document/view/313536970000000000000000000000000000/1383252</t>
  </si>
  <si>
    <t>GG-0116</t>
  </si>
  <si>
    <t>ＳＷＡＰ用光学エンジン・ＬＳＭ_ＡＳＳＹ_数設定</t>
  </si>
  <si>
    <t>https://ei-core-02.apo.epson.net/prozou/html/document/view/313539730000000000000000000000000000/1473092</t>
  </si>
  <si>
    <t>GG-0129</t>
  </si>
  <si>
    <t>計測器_校正有効期限管理手続き基準</t>
  </si>
  <si>
    <t>https://ei-core-02.apo.epson.net/prozou/html/document/view/313537390000000000000000000000000000/1464124</t>
  </si>
  <si>
    <t>GG-0159</t>
  </si>
  <si>
    <t>LSM修理受付から出荷までの作業フロ－と手順_Re</t>
  </si>
  <si>
    <t>https://ei-core-02.apo.epson.net/prozou/html/document/view/313539230000000000000000000000000000/1865513</t>
  </si>
  <si>
    <t>GH-0001</t>
  </si>
  <si>
    <t>出張報告・会議録作成発行基準</t>
  </si>
  <si>
    <t>https://ei-core-02.apo.epson.net/prozou/html/document/view/313538900000000000000000000000000000/1</t>
  </si>
  <si>
    <t>GH-0003</t>
  </si>
  <si>
    <t>個別テンダー対応特別価格の確認・管理基準</t>
  </si>
  <si>
    <t>https://ei-core-02.apo.epson.net/prozou/html/document/view/313540220000000000000000000000000000/1</t>
  </si>
  <si>
    <t>GH-0004</t>
  </si>
  <si>
    <t>ＥＡＮ等製品添付バーコード取得に関する手順</t>
  </si>
  <si>
    <t>https://ei-core-02.apo.epson.net/prozou/html/document/view/313538830000000000000000000000000000/1</t>
  </si>
  <si>
    <t>GH-0005</t>
  </si>
  <si>
    <t>外部発注の業務処理基準</t>
  </si>
  <si>
    <t>https://ei-core-02.apo.epson.net/prozou/html/document/view/313538790000000000000000000000000000/1</t>
  </si>
  <si>
    <t>GH-0006</t>
  </si>
  <si>
    <t>仕向先別標準仕様一覧制改定及び最新版管理基準</t>
  </si>
  <si>
    <t>https://ei-core-02.apo.epson.net/prozou/html/document/view/313540230000000000000000000000000000/1</t>
  </si>
  <si>
    <t>GH-0007</t>
  </si>
  <si>
    <t>_販促用機材等管理・運用基準</t>
  </si>
  <si>
    <t>https://ei-core-02.apo.epson.net/prozou/html/document/view/313539170000000000000000000000000000/1</t>
  </si>
  <si>
    <t>GH-0009</t>
  </si>
  <si>
    <t>_新製品の製品名称決定と販社への案内</t>
  </si>
  <si>
    <t>https://ei-core-02.apo.epson.net/prozou/html/document/view/313538400000000000000000000000000000/1</t>
  </si>
  <si>
    <t>GH-0010</t>
  </si>
  <si>
    <t>Launch_Master_Planの作成・通知</t>
  </si>
  <si>
    <t>https://ei-core-02.apo.epson.net/prozou/html/document/view/313538840000000000000000000000000000/1</t>
  </si>
  <si>
    <t>GH-0011</t>
  </si>
  <si>
    <t>_販社別販売計画・見通し策定</t>
  </si>
  <si>
    <t>https://ei-core-02.apo.epson.net/prozou/html/document/view/313538860000000000000000000000000000/1</t>
  </si>
  <si>
    <t>GH-0012</t>
  </si>
  <si>
    <t>_月度販売見通し値確認・報告</t>
  </si>
  <si>
    <t>https://ei-core-02.apo.epson.net/prozou/html/document/view/313538870000000000000000000000000000/1</t>
  </si>
  <si>
    <t>GH-0013</t>
  </si>
  <si>
    <t>_サンプル品出荷価格決定</t>
  </si>
  <si>
    <t>https://ei-core-02.apo.epson.net/prozou/html/document/view/313536930000000000000000000000000000/1</t>
  </si>
  <si>
    <t>GH-0014</t>
  </si>
  <si>
    <t>_週・月度販社販売実績報告</t>
  </si>
  <si>
    <t>https://ei-core-02.apo.epson.net/prozou/html/document/view/313538880000000000000000000000000000/1</t>
  </si>
  <si>
    <t>GH-0030</t>
  </si>
  <si>
    <t>販促ツールの作成</t>
  </si>
  <si>
    <t>https://ei-core-02.apo.epson.net/prozou/html/document/view/313538800000000000000000000000000000/1</t>
  </si>
  <si>
    <t>VP</t>
  </si>
  <si>
    <t>GH-0031</t>
  </si>
  <si>
    <t>調達業務プロセス概要</t>
  </si>
  <si>
    <t>https://ei-core-02.apo.epson.net/prozou/html/document/view/313539180000000000000000000000000000/1</t>
  </si>
  <si>
    <t>GH-0032</t>
  </si>
  <si>
    <t>VP営業_顧客個人情報管理基準</t>
  </si>
  <si>
    <t>https://ei-core-02.apo.epson.net/prozou/html/document/view/313539450000000000000000000000000000/1</t>
  </si>
  <si>
    <t>GH-0033</t>
  </si>
  <si>
    <t>電子押印・電子サイン処理に関する基準および実施手順</t>
  </si>
  <si>
    <t>https://ei-core-02.apo.epson.net/prozou/html/document/view/313540860000000000000000000000000000/1</t>
  </si>
  <si>
    <t>GI-0003</t>
  </si>
  <si>
    <t>情報化予算運用基準</t>
  </si>
  <si>
    <t>https://ei-core-02.apo.epson.net/prozou/html/document/view/313539160000000000000000000000000000/1</t>
  </si>
  <si>
    <t>BUSINESS_MANAGEMENT</t>
  </si>
  <si>
    <t>GI-0020</t>
  </si>
  <si>
    <t>秘書業務における名刺管理基準</t>
  </si>
  <si>
    <t>https://ei-core-02.apo.epson.net/prozou/html/document/view/313537520000000000000000000000000000/1</t>
  </si>
  <si>
    <t>GI-0021</t>
  </si>
  <si>
    <t>イノベーションチャレンジ活動における個人情報取り扱い基準</t>
  </si>
  <si>
    <t>https://ei-core-02.apo.epson.net/prozou/html/document/view/313540500000000000000000000000000000/1375761</t>
  </si>
  <si>
    <t>GI-0022</t>
  </si>
  <si>
    <t>豊科事業所Internet共用接続環境管理基準</t>
  </si>
  <si>
    <t>https://ei-core-02.apo.epson.net/prozou/html/document/view/313540470000000000000000000000000000/1</t>
  </si>
  <si>
    <t>GJ-0001</t>
  </si>
  <si>
    <t>中途採用者個人情報取扱い基準</t>
  </si>
  <si>
    <t>https://ei-core-02.apo.epson.net/prozou/html/document/view/313539350000000000000000000000000000/1435558</t>
  </si>
  <si>
    <t>GJ-0005</t>
  </si>
  <si>
    <t>インターンシップ者個人情報取り扱い基準</t>
  </si>
  <si>
    <t>https://ei-core-02.apo.epson.net/prozou/html/document/view/313539200000000000000000000000000000/1435746</t>
  </si>
  <si>
    <t>GJ-0006</t>
  </si>
  <si>
    <t>電子ファイル作成・取扱い基準</t>
  </si>
  <si>
    <t>https://ei-core-02.apo.epson.net/prozou/html/document/view/313538930000000000000000000000000000/1</t>
  </si>
  <si>
    <t>GK-0001</t>
  </si>
  <si>
    <t>量産品原価計算基準</t>
  </si>
  <si>
    <t>https://ei-core-02.apo.epson.net/prozou/html/document/view/313540160000000000000000000000000000/1</t>
  </si>
  <si>
    <t>GK-0002</t>
  </si>
  <si>
    <t>棚卸資産評価減額算出基準</t>
  </si>
  <si>
    <t>https://ei-core-02.apo.epson.net/prozou/html/document/view/313537920000000000000000000000000000/1</t>
  </si>
  <si>
    <t>GL-0001</t>
  </si>
  <si>
    <t>ゆめ水族園の個人情報取り扱い業務処理基準</t>
  </si>
  <si>
    <t>https://ei-core-02.apo.epson.net/prozou/html/document/view/313540850000000000000000000000000000/1519985</t>
  </si>
  <si>
    <t>BUSINESS_DEVELOPMENT</t>
  </si>
  <si>
    <t>GL-xxxx</t>
  </si>
  <si>
    <t>ファンタスチャンネル運用_個人情報管理基準</t>
  </si>
  <si>
    <t>https://ei-core-02.apo.epson.net/prozou/html/document/view/b15b47bc-df99-4b01-b49f-05f8b999fb63/1505778</t>
  </si>
  <si>
    <t>GL-0002</t>
  </si>
  <si>
    <t>ゆめ水族園SNS（Facebook）の活用に関する業務処理基準</t>
  </si>
  <si>
    <t>https://ei-core-02.apo.epson.net/prozou/html/document/view/313540960000000000000000000000000000/1</t>
  </si>
  <si>
    <t>KH-A01-0002</t>
  </si>
  <si>
    <t>LCPエージング試験環境基準</t>
  </si>
  <si>
    <t>https://ei-core-02.apo.epson.net/prozou/html/document/view/313535330000000000000000000000000000/1</t>
    <phoneticPr fontId="1"/>
  </si>
  <si>
    <t>STANDARD_VP</t>
  </si>
  <si>
    <t>PRODUCT</t>
  </si>
  <si>
    <t>KH-A01-0001</t>
  </si>
  <si>
    <t>LCPユーザー使用時間定義_ビジネス系</t>
  </si>
  <si>
    <t>https://ei-core-02.apo.epson.net/prozou/html/document/view/313535100000000000000000000000000000/1</t>
  </si>
  <si>
    <t>KH-A02-0005</t>
  </si>
  <si>
    <t>LCP製品外観規格</t>
  </si>
  <si>
    <t>https://ei-core-02.apo.epson.net/prozou/html/document/view/313535690000000000000000000000000000/1905676</t>
  </si>
  <si>
    <t>KH-A02-0006</t>
  </si>
  <si>
    <t>LCP製品画質規格『光漏れ』</t>
  </si>
  <si>
    <t>https://ei-core-02.apo.epson.net/prozou/html/document/view/313536040000000000000000000000000000/1889016</t>
  </si>
  <si>
    <t>KH-A02-0013</t>
  </si>
  <si>
    <t>LCP製品画質測定『色度』</t>
  </si>
  <si>
    <t>https://ei-core-02.apo.epson.net/prozou/html/document/view/313535500000000000000000000000000000/1450042</t>
  </si>
  <si>
    <t>KH-A02-0002</t>
  </si>
  <si>
    <t>LCP製品画質規格『ｺﾞﾐ･ｹﾊﾞ･ｷｽﾞ･汚れ』</t>
  </si>
  <si>
    <t>https://ei-core-02.apo.epson.net/prozou/html/document/view/313536030000000000000000000000000000/1</t>
  </si>
  <si>
    <t>KH-A02-0004</t>
  </si>
  <si>
    <t>LCP製品画質規格『Ｌ／Ｖ関連項目』</t>
  </si>
  <si>
    <t>https://ei-core-02.apo.epson.net/prozou/html/document/view/313536010000000000000000000000000000/1</t>
  </si>
  <si>
    <t>KH-A02-0009</t>
  </si>
  <si>
    <t>LCP製品画質規格『フォーカス』</t>
  </si>
  <si>
    <t>https://ei-core-02.apo.epson.net/prozou/html/document/view/313535980000000000000000000000000000/1</t>
  </si>
  <si>
    <t>KH-A02-0001</t>
  </si>
  <si>
    <t>LCP製品画質規格『点欠陥』</t>
  </si>
  <si>
    <t>https://ei-core-02.apo.epson.net/prozou/html/document/view/313535930000000000000000000000000000/1</t>
  </si>
  <si>
    <t>KH-A02-0010</t>
  </si>
  <si>
    <t>LCP製品画質規格『フレアー』</t>
  </si>
  <si>
    <t>https://ei-core-02.apo.epson.net/prozou/html/document/view/313535810000000000000000000000000000/1</t>
  </si>
  <si>
    <t>KH-A02-0008</t>
  </si>
  <si>
    <t>LCP製品画質規格『画素ずれ』</t>
  </si>
  <si>
    <t>https://ei-core-02.apo.epson.net/prozou/html/document/view/313535800000000000000000000000000000/1</t>
  </si>
  <si>
    <t>KH-A02-0012</t>
  </si>
  <si>
    <t>LCP製品平均出射光束測定標準</t>
  </si>
  <si>
    <t>https://ei-core-02.apo.epson.net/prozou/html/document/view/313535470000000000000000000000000000/1</t>
  </si>
  <si>
    <t>KH-A02-0003</t>
  </si>
  <si>
    <t>LCP天吊規格</t>
  </si>
  <si>
    <t>https://ei-core-02.apo.epson.net/prozou/html/document/view/313535400000000000000000000000000000/1</t>
  </si>
  <si>
    <t>KH-A02-0007</t>
  </si>
  <si>
    <t>音圧レベル及び音響パワーレベル測定標準</t>
  </si>
  <si>
    <t>https://ei-core-02.apo.epson.net/prozou/html/document/view/313535390000000000000000000000000000/1</t>
  </si>
  <si>
    <t>KH-A02-0011</t>
  </si>
  <si>
    <t>LCP製品光学特性規格『色むら』</t>
  </si>
  <si>
    <t>https://ei-core-02.apo.epson.net/prozou/html/document/view/313535110000000000000000000000000000/1</t>
  </si>
  <si>
    <t>KH-A03-0003</t>
  </si>
  <si>
    <t>LCP本体の油煙警告表示</t>
  </si>
  <si>
    <t>https://ei-core-02.apo.epson.net/prozou/html/document/view/313535520000000000000000000000000000/1</t>
  </si>
  <si>
    <t>KH-A03-0001</t>
  </si>
  <si>
    <t>LCP天吊り金具の警告表示</t>
  </si>
  <si>
    <t>https://ei-core-02.apo.epson.net/prozou/html/document/view/313535530000000000000000000000000000/1</t>
  </si>
  <si>
    <t>OP</t>
  </si>
  <si>
    <t>KH-A03-0002</t>
  </si>
  <si>
    <t>アーム製品の耐荷重規格</t>
  </si>
  <si>
    <t>https://ei-core-02.apo.epson.net/prozou/html/document/view/313535260000000000000000000000000000/1</t>
  </si>
  <si>
    <t>KH-A04-0006</t>
  </si>
  <si>
    <t>ECC向けLCP等_簡体字表記ガイドライン</t>
  </si>
  <si>
    <t>https://ei-core-02.apo.epson.net/prozou/html/document/view/ddbd3d94-40ef-4e4b-b07e-ba64a76d4da6/1447421</t>
  </si>
  <si>
    <t>KH-A04-0003</t>
  </si>
  <si>
    <t>ACアダプタ/リチウムイオン蓄電池等の電安法_事業届出_実施基準</t>
  </si>
  <si>
    <t>https://ei-core-02.apo.epson.net/prozou/html/document/view/313536000000000000000000000000000000/1</t>
  </si>
  <si>
    <t>KH-A04-0005</t>
  </si>
  <si>
    <t>中国省エネ認証と中国エネルギー効率ラベルの認証規格</t>
  </si>
  <si>
    <t>https://ei-core-02.apo.epson.net/prozou/html/document/view/313535710000000000000000000000000000/1</t>
  </si>
  <si>
    <t>KH-A04-0004</t>
  </si>
  <si>
    <t>EU_消費者保護に関する表示法対応</t>
  </si>
  <si>
    <t>https://ei-core-02.apo.epson.net/prozou/html/document/view/313535300000000000000000000000000000/1</t>
  </si>
  <si>
    <t>KH-A04-0001</t>
  </si>
  <si>
    <t>台湾_商品標示法対応</t>
  </si>
  <si>
    <t>https://ei-core-02.apo.epson.net/prozou/html/document/view/313534990000000000000000000000000000/1</t>
  </si>
  <si>
    <t>KH-A04-0002</t>
  </si>
  <si>
    <t>中国規定_企業標準号</t>
  </si>
  <si>
    <t>https://ei-core-02.apo.epson.net/prozou/html/document/view/313535090000000000000000000000000000/1</t>
  </si>
  <si>
    <t>KH-A05-0001</t>
  </si>
  <si>
    <t>輸送・保存温度規格</t>
  </si>
  <si>
    <t>https://ei-core-02.apo.epson.net/prozou/html/document/view/313535380000000000000000000000000000/1</t>
  </si>
  <si>
    <t>KH-A06-0002</t>
  </si>
  <si>
    <t>LCP光学エンジン寿命・光源寿命判定規格</t>
  </si>
  <si>
    <t>https://ei-core-02.apo.epson.net/prozou/html/document/view/313535870000000000000000000000000000/1</t>
  </si>
  <si>
    <t>KH-A06-0001</t>
  </si>
  <si>
    <t>LCP落下試験規格</t>
  </si>
  <si>
    <t>https://ei-core-02.apo.epson.net/prozou/html/document/view/313535450000000000000000000000000000/1</t>
  </si>
  <si>
    <t>KH-A06-0003</t>
  </si>
  <si>
    <t>LCPランプ部外観品質劣化規格</t>
  </si>
  <si>
    <t>https://ei-core-02.apo.epson.net/prozou/html/document/view/313535120000000000000000000000000000/1</t>
  </si>
  <si>
    <t>KH-A09-0002</t>
  </si>
  <si>
    <t>LCP_ユーザーインターフェイス_のチェックシート</t>
  </si>
  <si>
    <t>https://ei-core-02.apo.epson.net/prozou/html/document/view/1aae5591-5687-4338-9440-9436a86d51ca/1371652</t>
  </si>
  <si>
    <t>KH-A10-0002</t>
  </si>
  <si>
    <t>スクリーン製品外観規格</t>
  </si>
  <si>
    <t>https://ei-core-02.apo.epson.net/prozou/html/document/view/313535270000000000000000000000000000/1</t>
  </si>
  <si>
    <t>KH-A13-0001</t>
  </si>
  <si>
    <t>LCP信頼性試験投入前光学測定規格</t>
  </si>
  <si>
    <t>https://ei-core-02.apo.epson.net/prozou/html/document/view/313535130000000000000000000000000000/1</t>
  </si>
  <si>
    <t>KH-A13-0003</t>
  </si>
  <si>
    <t>LCP基本仕様確認規格</t>
  </si>
  <si>
    <t>https://ei-core-02.apo.epson.net/prozou/html/document/view/313535150000000000000000000000000000/1</t>
  </si>
  <si>
    <t>KH-A13-0005</t>
  </si>
  <si>
    <t>LCP短期高温高湿放置試験規格</t>
  </si>
  <si>
    <t>https://ei-core-02.apo.epson.net/prozou/html/document/view/313535160000000000000000000000000000/1</t>
  </si>
  <si>
    <t>KH-A13-0006</t>
  </si>
  <si>
    <t>LCP短期サーマルショック試験規格</t>
  </si>
  <si>
    <t>https://ei-core-02.apo.epson.net/prozou/html/document/view/313535170000000000000000000000000000/1</t>
  </si>
  <si>
    <t>KH-A13-0007</t>
  </si>
  <si>
    <t>LCP内観確認規格</t>
  </si>
  <si>
    <t>https://ei-core-02.apo.epson.net/prozou/html/document/view/313535180000000000000000000000000000/1</t>
  </si>
  <si>
    <t>KH-A13-0008</t>
  </si>
  <si>
    <t>LCP低温起動・低温ON-OFF試験規格</t>
  </si>
  <si>
    <t>https://ei-core-02.apo.epson.net/prozou/html/document/view/313535190000000000000000000000000000/1</t>
  </si>
  <si>
    <t>KH-A13-0009</t>
  </si>
  <si>
    <t>LCP温度パラメータ・高温起動試験規格</t>
  </si>
  <si>
    <t>https://ei-core-02.apo.epson.net/prozou/html/document/view/313535200000000000000000000000000000/1</t>
  </si>
  <si>
    <t>KH-A13-0010</t>
  </si>
  <si>
    <t>LCP動作衝撃試験規格</t>
  </si>
  <si>
    <t>https://ei-core-02.apo.epson.net/prozou/html/document/view/313535630000000000000000000000000000/1</t>
  </si>
  <si>
    <t>KH-A13-0012</t>
  </si>
  <si>
    <t>LCP梱包落下試験規格</t>
  </si>
  <si>
    <t>https://ei-core-02.apo.epson.net/prozou/html/document/view/313535430000000000000000000000000000/1</t>
  </si>
  <si>
    <t>KH-A13-0013</t>
  </si>
  <si>
    <t>LCP梱包振動試験規格</t>
  </si>
  <si>
    <t>https://ei-core-02.apo.epson.net/prozou/html/document/view/313535440000000000000000000000000000/1475060</t>
  </si>
  <si>
    <t>KH-A13-0014</t>
  </si>
  <si>
    <t>LCP安全性試験規格</t>
  </si>
  <si>
    <t>https://ei-core-02.apo.epson.net/prozou/html/document/view/313535210000000000000000000000000000/1</t>
  </si>
  <si>
    <t>KH-A13-0019</t>
  </si>
  <si>
    <t>LCP意地悪試験規格</t>
  </si>
  <si>
    <t>https://ei-core-02.apo.epson.net/prozou/html/document/view/313535230000000000000000000000000000/1474695</t>
  </si>
  <si>
    <t>KH-A13-0024</t>
  </si>
  <si>
    <t>LCP機構部耐久性試験規格</t>
  </si>
  <si>
    <t>https://ei-core-02.apo.epson.net/prozou/html/document/view/313535990000000000000000000000000000/1</t>
  </si>
  <si>
    <t>KH-A13-0026</t>
  </si>
  <si>
    <t>LCP短期ON-OFF試験規格</t>
  </si>
  <si>
    <t>https://ei-core-02.apo.epson.net/prozou/html/document/view/313535240000000000000000000000000000/1</t>
  </si>
  <si>
    <t>KH-A13-0027</t>
  </si>
  <si>
    <t>LCP新製品評価管理表標準</t>
  </si>
  <si>
    <t>https://ei-core-02.apo.epson.net/prozou/html/document/view/313535250000000000000000000000000000/1</t>
  </si>
  <si>
    <t>KH-A13-0028</t>
  </si>
  <si>
    <t>LCP長期信頼性試験規格</t>
  </si>
  <si>
    <t>https://ei-core-02.apo.epson.net/prozou/html/document/view/313535480000000000000000000000000000/1</t>
  </si>
  <si>
    <t>KH-A13-0029</t>
  </si>
  <si>
    <t>書画カメラ画像評価標準</t>
  </si>
  <si>
    <t>https://ei-core-02.apo.epson.net/prozou/html/document/view/313535420000000000000000000000000000/1</t>
  </si>
  <si>
    <t>PERIPHERAL_EQUIPMENT</t>
  </si>
  <si>
    <t>KH-A13-0030</t>
  </si>
  <si>
    <t>LCP良品解析規格</t>
  </si>
  <si>
    <t>https://ei-core-02.apo.epson.net/prozou/html/document/view/313535610000000000000000000000000000/1</t>
  </si>
  <si>
    <t>KH-A13-0002</t>
  </si>
  <si>
    <t>LCP初期表示外観確認規格</t>
  </si>
  <si>
    <t>https://ei-core-02.apo.epson.net/prozou/html/document/view/313535140000000000000000000000000000/1354169</t>
  </si>
  <si>
    <t>KH-A13-0018</t>
  </si>
  <si>
    <t>LCP付属･オプション品評価規格</t>
  </si>
  <si>
    <t>https://ei-core-02.apo.epson.net/prozou/html/document/view/313535220000000000000000000000000000/1382010</t>
  </si>
  <si>
    <t>KH-A13-0020</t>
  </si>
  <si>
    <t>LCP非動作衝撃試験規格</t>
  </si>
  <si>
    <t>https://ei-core-02.apo.epson.net/prozou/html/document/view/313535370000000000000000000000000000/1432687</t>
  </si>
  <si>
    <t>KH-B02-xxxx</t>
  </si>
  <si>
    <t>回路部品ディレーティング規格</t>
  </si>
  <si>
    <t>https://ei-core-02.apo.epson.net/prozou/html/document/view/313535850000000000000000000000000000/1</t>
  </si>
  <si>
    <t>PARTS</t>
  </si>
  <si>
    <t>KH-C02-0001</t>
  </si>
  <si>
    <t>プラスチック材料評価標準</t>
  </si>
  <si>
    <t>https://ei-core-02.apo.epson.net/prozou/html/document/view/313535000000000000000000000000000000/1</t>
  </si>
  <si>
    <t>MATERIAL</t>
  </si>
  <si>
    <t>KH-D02-0001</t>
  </si>
  <si>
    <t>エンクロージャの開口に関する設計標準</t>
  </si>
  <si>
    <t>https://ei-core-02.apo.epson.net/prozou/html/document/view/313535540000000000000000000000000000/1</t>
  </si>
  <si>
    <t>DESIGN</t>
  </si>
  <si>
    <t>KH-D02-0002</t>
  </si>
  <si>
    <t>絶縁空間距離・沿面距離に関する設計標準</t>
  </si>
  <si>
    <t>https://ei-core-02.apo.epson.net/prozou/html/document/view/313535670000000000000000000000000000/1</t>
  </si>
  <si>
    <t>KH-D02-0003</t>
  </si>
  <si>
    <t>ランプ部の絶縁距離に関する設計標準</t>
  </si>
  <si>
    <t>https://ei-core-02.apo.epson.net/prozou/html/document/view/313535410000000000000000000000000000/1</t>
  </si>
  <si>
    <t>KH-D02-0004</t>
  </si>
  <si>
    <t>オプション梱包、付属品・サポートの部品名称_設計標準</t>
  </si>
  <si>
    <t>https://ei-core-02.apo.epson.net/prozou/html/document/view/313535350000000000000000000000000000/1</t>
  </si>
  <si>
    <t>KH-D02-0005</t>
  </si>
  <si>
    <t>電源バラスト周辺安全構造_設計標準</t>
  </si>
  <si>
    <t>https://ei-core-02.apo.epson.net/prozou/html/document/view/313535660000000000000000000000000000/1</t>
  </si>
  <si>
    <t>KH-D02-0007</t>
  </si>
  <si>
    <t>ランプ防爆構造_設計標準</t>
  </si>
  <si>
    <t>https://ei-core-02.apo.epson.net/prozou/html/document/view/313535280000000000000000000000000000/1</t>
  </si>
  <si>
    <t>KH-D02-0008</t>
  </si>
  <si>
    <t>警告、及び、異常温度設定_設計標準</t>
  </si>
  <si>
    <t>https://ei-core-02.apo.epson.net/prozou/html/document/view/313535010000000000000000000000000000/1</t>
  </si>
  <si>
    <t>KH-D02-0012</t>
  </si>
  <si>
    <t>締結部品に関する設計標準</t>
  </si>
  <si>
    <t>https://ei-core-02.apo.epson.net/prozou/html/document/view/313536020000000000000000000000000000/1</t>
  </si>
  <si>
    <t>KH-D02-0013</t>
  </si>
  <si>
    <t>ＭＡ－ＩＦ基板周りに関する設計標準</t>
  </si>
  <si>
    <t>https://ei-core-02.apo.epson.net/prozou/html/document/view/313535020000000000000000000000000000/1</t>
  </si>
  <si>
    <t>KH-D02-0014</t>
  </si>
  <si>
    <t>サーモスタット（セーフティスイッチ）温度設定_設計標準</t>
  </si>
  <si>
    <t>https://ei-core-02.apo.epson.net/prozou/html/document/view/313535030000000000000000000000000000/1</t>
  </si>
  <si>
    <t>KH-D02-0015</t>
  </si>
  <si>
    <t>筐体の部位別可触部温度限度_設計標準</t>
  </si>
  <si>
    <t>https://ei-core-02.apo.epson.net/prozou/html/document/view/313535590000000000000000000000000000/1</t>
  </si>
  <si>
    <t>KH-D02-0016</t>
  </si>
  <si>
    <t>軽衝撃によるランプ消灯に関する設計標準</t>
  </si>
  <si>
    <t>https://ei-core-02.apo.epson.net/prozou/html/document/view/313535040000000000000000000000000000/1</t>
  </si>
  <si>
    <t>KH-D02-0017</t>
  </si>
  <si>
    <t>スピーカー音響特性に関する設計標準</t>
  </si>
  <si>
    <t>https://ei-core-02.apo.epson.net/prozou/html/document/view/313535050000000000000000000000000000/1</t>
  </si>
  <si>
    <t>KH-D02-0018</t>
  </si>
  <si>
    <t>ＰＯＰスペーサー構造に関する設計標準</t>
  </si>
  <si>
    <t>https://ei-core-02.apo.epson.net/prozou/html/document/view/313535310000000000000000000000000000/1</t>
  </si>
  <si>
    <t>KH-D02-0020</t>
  </si>
  <si>
    <t>セキュリティバー_設計標準</t>
  </si>
  <si>
    <t>https://ei-core-02.apo.epson.net/prozou/html/document/view/313535890000000000000000000000000000/1</t>
  </si>
  <si>
    <t>KH-D02-0021</t>
  </si>
  <si>
    <t>ランプユニット_設計標準</t>
  </si>
  <si>
    <t>https://ei-core-02.apo.epson.net/prozou/html/document/view/313535060000000000000000000000000000/1</t>
  </si>
  <si>
    <t>KH-D02-0022</t>
  </si>
  <si>
    <t>定格表示ラベルのサイズと貼り付け位置_設計標準</t>
  </si>
  <si>
    <t>https://ei-core-02.apo.epson.net/prozou/html/document/view/313535680000000000000000000000000000/1</t>
  </si>
  <si>
    <t>KH-D02-0023</t>
  </si>
  <si>
    <t>電気的導通部品に関する設計標準</t>
  </si>
  <si>
    <t>https://ei-core-02.apo.epson.net/prozou/html/document/view/313535620000000000000000000000000000/1</t>
  </si>
  <si>
    <t>KH-D02-0024</t>
  </si>
  <si>
    <t>プロジェクター防塵性能指標_標準</t>
  </si>
  <si>
    <t>https://ei-core-02.apo.epson.net/prozou/html/document/view/313535070000000000000000000000000000/1</t>
  </si>
  <si>
    <t>KH-D02-0025</t>
  </si>
  <si>
    <t>ランプハウジング上の表示に関する設計標準</t>
  </si>
  <si>
    <t>https://ei-core-02.apo.epson.net/prozou/html/document/view/313535560000000000000000000000000000/1</t>
  </si>
  <si>
    <t>KH-D02-0028</t>
  </si>
  <si>
    <t>Ｈｏｍｅ系塵埃規格・試験標準</t>
  </si>
  <si>
    <t>https://ei-core-02.apo.epson.net/prozou/html/document/view/313535080000000000000000000000000000/1</t>
  </si>
  <si>
    <t>KH-D02-0029</t>
  </si>
  <si>
    <t>ボタンスイッチに関する設計標準</t>
  </si>
  <si>
    <t>https://ei-core-02.apo.epson.net/prozou/html/document/view/313535730000000000000000000000000000/1</t>
  </si>
  <si>
    <t>KH-D02-0031</t>
  </si>
  <si>
    <t>製品本体ベースのコード設定に関する設計標準</t>
  </si>
  <si>
    <t>https://ei-core-02.apo.epson.net/prozou/html/document/view/313535320000000000000000000000000000/1</t>
  </si>
  <si>
    <t>KH-D02-0033</t>
  </si>
  <si>
    <t>_梱包設計標準</t>
  </si>
  <si>
    <t>https://ei-core-02.apo.epson.net/prozou/html/document/view/313535340000000000000000000000000000/1</t>
  </si>
  <si>
    <t>KH-D02-0034</t>
  </si>
  <si>
    <t>梱包ラベル表記設計規格</t>
  </si>
  <si>
    <t>https://ei-core-02.apo.epson.net/prozou/html/document/view/313535900000000000000000000000000000/1</t>
  </si>
  <si>
    <t>KH-D02-0035</t>
  </si>
  <si>
    <t>フォーカスドリフトに関する設計標準</t>
  </si>
  <si>
    <t>https://ei-core-02.apo.epson.net/prozou/html/document/view/313535360000000000000000000000000000/1</t>
  </si>
  <si>
    <t>KH-D02-0037</t>
  </si>
  <si>
    <t>本体シボと表示ラベルの組み合わせ_設計標準</t>
  </si>
  <si>
    <t>https://ei-core-02.apo.epson.net/prozou/html/document/view/313535780000000000000000000000000000/1</t>
  </si>
  <si>
    <t>KH-D02-0038</t>
  </si>
  <si>
    <t>LSM内光学部品の熱割れ_設計基準</t>
  </si>
  <si>
    <t>https://ei-core-02.apo.epson.net/prozou/html/document/view/313535790000000000000000000000000000/1</t>
  </si>
  <si>
    <t>KH-D02-0039</t>
  </si>
  <si>
    <t>1.0（0.8）inch系オプション投写レンズ_フランジ部_設計基準</t>
  </si>
  <si>
    <t>https://ei-core-02.apo.epson.net/prozou/html/document/view/313535460000000000000000000000000000/1</t>
  </si>
  <si>
    <t>KH-D02-0040</t>
  </si>
  <si>
    <t>ケミカルクラック天吊り落下防止構造_設計標準</t>
  </si>
  <si>
    <t>https://ei-core-02.apo.epson.net/prozou/html/document/view/313535880000000000000000000000000000/1</t>
  </si>
  <si>
    <t>KH-D02-0041</t>
  </si>
  <si>
    <t>部品難燃性に関する設計標準</t>
  </si>
  <si>
    <t>https://ei-core-02.apo.epson.net/prozou/html/document/view/313535760000000000000000000000000000/1902105</t>
  </si>
  <si>
    <t>KH-D02-0042</t>
  </si>
  <si>
    <t>レーザー光源ユニットの安全構造に関する設計標準</t>
  </si>
  <si>
    <t>https://ei-core-02.apo.epson.net/prozou/html/document/view/313535570000000000000000000000000000/1</t>
  </si>
  <si>
    <t>KH-D02-0043</t>
  </si>
  <si>
    <t>レーザー安全の表示要求に対する設計標準</t>
  </si>
  <si>
    <t>https://ei-core-02.apo.epson.net/prozou/html/document/view/313535580000000000000000000000000000/1</t>
  </si>
  <si>
    <t>KH-D02-0045</t>
  </si>
  <si>
    <t>接着強度に関する設計標準</t>
  </si>
  <si>
    <t>https://ei-core-02.apo.epson.net/prozou/html/document/view/313535600000000000000000000000000000/1</t>
  </si>
  <si>
    <t>KH-D02-0046</t>
  </si>
  <si>
    <t>[LCP]新規コネクタ採用時の評価標準</t>
  </si>
  <si>
    <t>https://ei-core-02.apo.epson.net/prozou/html/document/view/313535960000000000000000000000000000/1</t>
  </si>
  <si>
    <t>KH-D02-0047</t>
  </si>
  <si>
    <t>[LCP]コネクタ選定ガイドライン</t>
  </si>
  <si>
    <t>https://ei-core-02.apo.epson.net/prozou/html/document/view/313535970000000000000000000000000000/1</t>
  </si>
  <si>
    <t>KH-D02-0048</t>
  </si>
  <si>
    <t>設置金具の2重安全設計</t>
  </si>
  <si>
    <t>https://ei-core-02.apo.epson.net/prozou/html/document/view/313535640000000000000000000000000000/1</t>
  </si>
  <si>
    <t>KH-D02-0051</t>
  </si>
  <si>
    <t>Zoom＆Focusレバーとケース壁面の隙間</t>
  </si>
  <si>
    <t>https://ei-core-02.apo.epson.net/prozou/html/document/view/313535770000000000000000000000000000/1</t>
  </si>
  <si>
    <t>KH-D02-0052</t>
  </si>
  <si>
    <t>塩害に対する安全設計標準</t>
  </si>
  <si>
    <t>https://ei-core-02.apo.epson.net/prozou/html/document/view/313535860000000000000000000000000000/1</t>
  </si>
  <si>
    <t>KH-D02-0053</t>
  </si>
  <si>
    <t>吸気ファンの埃詰まり防止構造</t>
  </si>
  <si>
    <t>https://ei-core-02.apo.epson.net/prozou/html/document/view/313535910000000000000000000000000000/1</t>
  </si>
  <si>
    <t>KH-F01-0003</t>
  </si>
  <si>
    <t>回路基板検査用のテストポイントの規格</t>
  </si>
  <si>
    <t>https://ei-core-02.apo.epson.net/prozou/html/document/view/313535490000000000000000000000000000/1</t>
  </si>
  <si>
    <t>INSPECTION</t>
  </si>
  <si>
    <t>KH-F01-0004</t>
  </si>
  <si>
    <t>出荷検査、精密検査の抜き取り数に関する標準</t>
  </si>
  <si>
    <t>https://ei-core-02.apo.epson.net/prozou/html/document/view/313535650000000000000000000000000000/1606311</t>
  </si>
  <si>
    <t>KH-F01-0001</t>
  </si>
  <si>
    <t>ＸＲＦ受入検査運用基準</t>
  </si>
  <si>
    <t>https://ei-core-02.apo.epson.net/prozou/html/document/view/313535920000000000000000000000000000/1</t>
  </si>
  <si>
    <t>KH-F02-0001</t>
  </si>
  <si>
    <t>LCP製品『画素ずれ』測定標準</t>
  </si>
  <si>
    <t>https://ei-core-02.apo.epson.net/prozou/html/document/view/313535820000000000000000000000000000/1</t>
  </si>
  <si>
    <t>KH-F02-0002</t>
  </si>
  <si>
    <t>LCP製品『フレアー』測定標準</t>
  </si>
  <si>
    <t>https://ei-core-02.apo.epson.net/prozou/html/document/view/313535830000000000000000000000000000/1</t>
  </si>
  <si>
    <t>KH-F02-0003</t>
  </si>
  <si>
    <t>LCP製品『フォーカスランク』測定標準</t>
  </si>
  <si>
    <t>https://ei-core-02.apo.epson.net/prozou/html/document/view/313535840000000000000000000000000000/1</t>
  </si>
  <si>
    <t>KH-F02-0004</t>
  </si>
  <si>
    <t>LCP製品画質測定ポイント標準</t>
  </si>
  <si>
    <t>https://ei-core-02.apo.epson.net/prozou/html/document/view/313535740000000000000000000000000000/1</t>
  </si>
  <si>
    <t>KH-F02-0005</t>
  </si>
  <si>
    <t>LCP製品『フォーカス片ぼけ』測定標準</t>
  </si>
  <si>
    <t>https://ei-core-02.apo.epson.net/prozou/html/document/view/313535750000000000000000000000000000/1</t>
  </si>
  <si>
    <t>KH-F02-0006</t>
  </si>
  <si>
    <t>LCP製品『解像コントラスト』測定標準</t>
  </si>
  <si>
    <t>https://ei-core-02.apo.epson.net/prozou/html/document/view/313535950000000000000000000000000000/1</t>
  </si>
  <si>
    <t>KH-G02-0002</t>
  </si>
  <si>
    <t>ＬＣＰ製品梱包箱テーピング規格</t>
  </si>
  <si>
    <t>https://ei-core-02.apo.epson.net/prozou/html/document/view/313535720000000000000000000000000000/1</t>
  </si>
  <si>
    <t>KH-H02-0001</t>
  </si>
  <si>
    <t>LCP製品測定用照度計校正標準</t>
  </si>
  <si>
    <t>https://ei-core-02.apo.epson.net/prozou/html/document/view/313535940000000000000000000000000000/1</t>
  </si>
  <si>
    <t>MEASURE_DEVICE</t>
  </si>
  <si>
    <t>KH-Z99-0001</t>
  </si>
  <si>
    <t>含有化学物質ベンダー監査運用基準</t>
  </si>
  <si>
    <t>https://ei-core-02.apo.epson.net/prozou/html/document/view/313535290000000000000000000000000000/1</t>
  </si>
  <si>
    <t>GENERAL</t>
  </si>
  <si>
    <t>KH-Z99-0003</t>
  </si>
  <si>
    <t>表示リスク対応基準</t>
  </si>
  <si>
    <t>https://ei-core-02.apo.epson.net/prozou/html/document/view/313535550000000000000000000000000000/1</t>
  </si>
  <si>
    <t>KH-Z99-0005</t>
  </si>
  <si>
    <t>環境ラベル管理運用基準</t>
  </si>
  <si>
    <t>https://ei-core-02.apo.epson.net/prozou/html/document/view/313535510000000000000000000000000000/1</t>
  </si>
  <si>
    <t>KH-Z99-0006</t>
    <phoneticPr fontId="1"/>
  </si>
  <si>
    <t>ErP_Lot6/26_法令対応基準</t>
  </si>
  <si>
    <t>https://ei-core-02.apo.epson.net/prozou/html/document/view/313535700000000000000000000000000000/1</t>
  </si>
  <si>
    <r>
      <t>VP</t>
    </r>
    <r>
      <rPr>
        <sz val="10"/>
        <color theme="1"/>
        <rFont val="ＭＳ Ｐゴシック"/>
        <family val="2"/>
        <charset val="128"/>
      </rPr>
      <t>事業部基準</t>
    </r>
    <rPh sb="2" eb="5">
      <t>ジギョウブ</t>
    </rPh>
    <rPh sb="5" eb="7">
      <t>キジュン</t>
    </rPh>
    <phoneticPr fontId="1"/>
  </si>
  <si>
    <r>
      <t>VP</t>
    </r>
    <r>
      <rPr>
        <sz val="10"/>
        <color theme="1"/>
        <rFont val="ＭＳ Ｐゴシック"/>
        <family val="2"/>
        <charset val="128"/>
      </rPr>
      <t>事業部</t>
    </r>
    <r>
      <rPr>
        <sz val="10"/>
        <color theme="1"/>
        <rFont val="Segoe UI"/>
        <family val="2"/>
      </rPr>
      <t>EQS</t>
    </r>
    <rPh sb="2" eb="5">
      <t>ジギョウブ</t>
    </rPh>
    <phoneticPr fontId="1"/>
  </si>
  <si>
    <r>
      <t>VP</t>
    </r>
    <r>
      <rPr>
        <sz val="10"/>
        <color theme="1"/>
        <rFont val="ＭＳ Ｐゴシック"/>
        <family val="2"/>
        <charset val="128"/>
      </rPr>
      <t>業務処理基準</t>
    </r>
    <rPh sb="2" eb="8">
      <t>ギョウムショリキジュン</t>
    </rPh>
    <phoneticPr fontId="1"/>
  </si>
  <si>
    <r>
      <t>VP</t>
    </r>
    <r>
      <rPr>
        <sz val="10"/>
        <color theme="1"/>
        <rFont val="ＭＳ Ｐゴシック"/>
        <family val="2"/>
        <charset val="128"/>
      </rPr>
      <t>規格・標準</t>
    </r>
    <rPh sb="2" eb="4">
      <t>キカク</t>
    </rPh>
    <rPh sb="5" eb="7">
      <t>ヒョウジュン</t>
    </rPh>
    <phoneticPr fontId="1"/>
  </si>
  <si>
    <t>理念</t>
  </si>
  <si>
    <t>SEC規程</t>
  </si>
  <si>
    <t>グループ規程</t>
  </si>
  <si>
    <t>安全性</t>
  </si>
  <si>
    <t>含有化学物質</t>
  </si>
  <si>
    <t>化学製品</t>
  </si>
  <si>
    <r>
      <t>CHEMICAL_</t>
    </r>
    <r>
      <rPr>
        <sz val="10"/>
        <color theme="1"/>
        <rFont val="Segoe UI"/>
        <family val="2"/>
      </rPr>
      <t>PRODUCTS</t>
    </r>
    <phoneticPr fontId="1"/>
  </si>
  <si>
    <t>環境</t>
  </si>
  <si>
    <t>セキュリティ</t>
  </si>
  <si>
    <t>輸送</t>
  </si>
  <si>
    <t>ウィスカ</t>
  </si>
  <si>
    <t>AI</t>
  </si>
  <si>
    <t>法規制団体</t>
  </si>
  <si>
    <t>表示類</t>
  </si>
  <si>
    <t>取扱説明</t>
  </si>
  <si>
    <t>梱包</t>
  </si>
  <si>
    <t>その他</t>
  </si>
  <si>
    <t>事業戦略</t>
  </si>
  <si>
    <t>要素技術開発</t>
  </si>
  <si>
    <t>企画設計</t>
  </si>
  <si>
    <t>生産技術</t>
  </si>
  <si>
    <t>製造</t>
  </si>
  <si>
    <t>生産管理調達</t>
  </si>
  <si>
    <t>品質保証・サービスサポート</t>
  </si>
  <si>
    <t>営業</t>
  </si>
  <si>
    <t>事業管理</t>
  </si>
  <si>
    <t>総務</t>
  </si>
  <si>
    <t>経理</t>
  </si>
  <si>
    <t>事業推進</t>
  </si>
  <si>
    <t>製品</t>
  </si>
  <si>
    <t>部品</t>
  </si>
  <si>
    <t>材料</t>
  </si>
  <si>
    <t>設計</t>
  </si>
  <si>
    <t>検査</t>
  </si>
  <si>
    <t>計測器</t>
  </si>
  <si>
    <t>一般</t>
  </si>
  <si>
    <t>方針類</t>
  </si>
  <si>
    <t>社員行動規範</t>
  </si>
  <si>
    <t>定款と付属規程</t>
  </si>
  <si>
    <t>ガバナンス</t>
  </si>
  <si>
    <t>コンプライアンス</t>
  </si>
  <si>
    <t>規程管理</t>
  </si>
  <si>
    <t>組織分掌</t>
  </si>
  <si>
    <t>経営会議</t>
  </si>
  <si>
    <t>職務権限</t>
  </si>
  <si>
    <t>役員関連</t>
  </si>
  <si>
    <t>人事</t>
  </si>
  <si>
    <t>経営</t>
  </si>
  <si>
    <t>安全・環境</t>
  </si>
  <si>
    <t>開発・無体財産</t>
  </si>
  <si>
    <t>技術・品質</t>
  </si>
  <si>
    <t>生産・物流</t>
  </si>
  <si>
    <t>情報</t>
  </si>
  <si>
    <t>共通</t>
  </si>
  <si>
    <t>安全</t>
  </si>
  <si>
    <t>VD</t>
    <phoneticPr fontId="1"/>
  </si>
  <si>
    <t>ランプ</t>
  </si>
  <si>
    <t>千歳</t>
  </si>
  <si>
    <t>光学部品技術</t>
  </si>
  <si>
    <t>OPTICAL_COMPONENT_TECHNOLOGY</t>
    <phoneticPr fontId="1"/>
  </si>
  <si>
    <t>ＬＣＰ製品の金具・スクリーン類</t>
    <phoneticPr fontId="1"/>
  </si>
  <si>
    <t>METAL_FITTINGS_AND_SCREENS_FOR_LCP_PRODUCTS</t>
    <phoneticPr fontId="1"/>
  </si>
  <si>
    <t>諏訪南</t>
  </si>
  <si>
    <t>修理</t>
  </si>
  <si>
    <t>周辺機器</t>
  </si>
  <si>
    <t>作成中</t>
    <rPh sb="0" eb="3">
      <t>サクセイチュウ</t>
    </rPh>
    <phoneticPr fontId="1"/>
  </si>
  <si>
    <t>Draft</t>
    <phoneticPr fontId="1"/>
  </si>
  <si>
    <t>制定版</t>
    <rPh sb="0" eb="3">
      <t>セイテイバン</t>
    </rPh>
    <phoneticPr fontId="1"/>
  </si>
  <si>
    <t>Active</t>
    <phoneticPr fontId="1"/>
  </si>
  <si>
    <t>廃止</t>
    <rPh sb="0" eb="2">
      <t>ハイシ</t>
    </rPh>
    <phoneticPr fontId="1"/>
  </si>
  <si>
    <t>Retired</t>
    <phoneticPr fontId="1"/>
  </si>
  <si>
    <t>tbl_rules</t>
    <phoneticPr fontId="1"/>
  </si>
  <si>
    <t>tbl_cat_type</t>
    <phoneticPr fontId="1"/>
  </si>
  <si>
    <t>tbl_cat_major</t>
    <phoneticPr fontId="1"/>
  </si>
  <si>
    <t>tbl_cat_sub</t>
    <phoneticPr fontId="1"/>
  </si>
  <si>
    <t>状態DB</t>
    <rPh sb="0" eb="2">
      <t>ジョウタイ</t>
    </rPh>
    <phoneticPr fontId="1"/>
  </si>
  <si>
    <t>tbl_cat_state</t>
    <phoneticPr fontId="1"/>
  </si>
  <si>
    <t>命名規則</t>
    <rPh sb="0" eb="4">
      <t>メイメイキソク</t>
    </rPh>
    <phoneticPr fontId="1"/>
  </si>
  <si>
    <t>key_</t>
    <phoneticPr fontId="1"/>
  </si>
  <si>
    <t>主キーや外部キー等のキー情報を表すカラムの接頭語</t>
    <rPh sb="0" eb="1">
      <t>シュ</t>
    </rPh>
    <rPh sb="4" eb="6">
      <t>ガイブ</t>
    </rPh>
    <rPh sb="8" eb="9">
      <t>ナド</t>
    </rPh>
    <rPh sb="12" eb="14">
      <t>ジョウホウ</t>
    </rPh>
    <rPh sb="15" eb="16">
      <t>アラワ</t>
    </rPh>
    <rPh sb="21" eb="24">
      <t>セットウゴ</t>
    </rPh>
    <phoneticPr fontId="1"/>
  </si>
  <si>
    <t>tbl_</t>
    <phoneticPr fontId="1"/>
  </si>
  <si>
    <t>テーブルの名称の接頭語</t>
    <rPh sb="5" eb="7">
      <t>メイショウ</t>
    </rPh>
    <rPh sb="8" eb="11">
      <t>セットウゴ</t>
    </rPh>
    <phoneticPr fontId="1"/>
  </si>
  <si>
    <t>id_</t>
    <phoneticPr fontId="1"/>
  </si>
  <si>
    <t>ユーザーが定義しているID情報</t>
    <rPh sb="5" eb="7">
      <t>テイギ</t>
    </rPh>
    <rPh sb="13" eb="15">
      <t>ジョウホウ</t>
    </rPh>
    <phoneticPr fontId="1"/>
  </si>
  <si>
    <t>key_cat_sub</t>
    <phoneticPr fontId="1"/>
  </si>
  <si>
    <t>key_cat_state</t>
    <phoneticPr fontId="1"/>
  </si>
  <si>
    <t>key_cat_sub</t>
    <phoneticPr fontId="1"/>
  </si>
  <si>
    <t>path</t>
    <phoneticPr fontId="1"/>
  </si>
  <si>
    <r>
      <rPr>
        <sz val="10"/>
        <color theme="1"/>
        <rFont val="ＭＳ Ｐゴシック"/>
        <family val="2"/>
        <charset val="128"/>
      </rPr>
      <t>エプソン例規集</t>
    </r>
    <rPh sb="4" eb="7">
      <t>レイキシュウ</t>
    </rPh>
    <phoneticPr fontId="1"/>
  </si>
  <si>
    <r>
      <rPr>
        <sz val="10"/>
        <color theme="1"/>
        <rFont val="ＭＳ Ｐゴシック"/>
        <family val="2"/>
        <charset val="128"/>
      </rPr>
      <t>全社</t>
    </r>
    <r>
      <rPr>
        <sz val="10"/>
        <color theme="1"/>
        <rFont val="Segoe UI"/>
        <family val="2"/>
      </rPr>
      <t>EQS</t>
    </r>
    <rPh sb="0" eb="2">
      <t>ゼンシャ</t>
    </rPh>
    <phoneticPr fontId="1"/>
  </si>
  <si>
    <t>corp_rules</t>
    <phoneticPr fontId="1"/>
  </si>
  <si>
    <t>corp_eqs</t>
    <phoneticPr fontId="1"/>
  </si>
  <si>
    <t>vp_rules</t>
    <phoneticPr fontId="1"/>
  </si>
  <si>
    <t>vp_eqs</t>
    <phoneticPr fontId="1"/>
  </si>
  <si>
    <t>vp_ops</t>
    <phoneticPr fontId="1"/>
  </si>
  <si>
    <t>vp_standard</t>
    <phoneticPr fontId="1"/>
  </si>
  <si>
    <t>sales</t>
  </si>
  <si>
    <t>common</t>
  </si>
  <si>
    <t>vi</t>
  </si>
  <si>
    <t>vd</t>
  </si>
  <si>
    <t>safety</t>
  </si>
  <si>
    <t>lcp</t>
  </si>
  <si>
    <t>hmd</t>
  </si>
  <si>
    <t>lamp</t>
  </si>
  <si>
    <t>chitose</t>
  </si>
  <si>
    <t>suwanan</t>
  </si>
  <si>
    <t>repair</t>
  </si>
  <si>
    <t>oer</t>
  </si>
  <si>
    <t>vp</t>
  </si>
  <si>
    <t>op</t>
  </si>
  <si>
    <t>null</t>
  </si>
  <si>
    <t>mgmt_phil</t>
  </si>
  <si>
    <t>corp_actp</t>
  </si>
  <si>
    <t>pol_cat</t>
  </si>
  <si>
    <t>emp_coc</t>
  </si>
  <si>
    <t>aoi_supp</t>
  </si>
  <si>
    <t>gov</t>
  </si>
  <si>
    <t>comp</t>
  </si>
  <si>
    <t>proc_mgmt</t>
  </si>
  <si>
    <t>div_org</t>
  </si>
  <si>
    <t>mgmt_mt</t>
  </si>
  <si>
    <t>auth</t>
  </si>
  <si>
    <t>off_rel</t>
  </si>
  <si>
    <t>emp_rule</t>
  </si>
  <si>
    <t>hr</t>
  </si>
  <si>
    <t>mgmt</t>
  </si>
  <si>
    <t>gen_aff</t>
  </si>
  <si>
    <t>safe_env</t>
  </si>
  <si>
    <t>acct</t>
  </si>
  <si>
    <t>dev_intg</t>
  </si>
  <si>
    <t>tech_qual</t>
  </si>
  <si>
    <t>prod_log</t>
  </si>
  <si>
    <t>info</t>
  </si>
  <si>
    <t>opt_comp</t>
  </si>
  <si>
    <t>lcp_metal</t>
  </si>
  <si>
    <t>peri_eqp</t>
  </si>
  <si>
    <t>philosophy</t>
  </si>
  <si>
    <t>office</t>
  </si>
  <si>
    <t>group</t>
  </si>
  <si>
    <t>chem</t>
  </si>
  <si>
    <t>chem_prod</t>
  </si>
  <si>
    <t>env</t>
  </si>
  <si>
    <t>emc</t>
  </si>
  <si>
    <t>security</t>
  </si>
  <si>
    <t>trans</t>
  </si>
  <si>
    <t>wisker</t>
  </si>
  <si>
    <t>ai</t>
  </si>
  <si>
    <t>iso9001</t>
  </si>
  <si>
    <t>other</t>
  </si>
  <si>
    <t>lae</t>
  </si>
  <si>
    <t>display</t>
  </si>
  <si>
    <t>manual</t>
  </si>
  <si>
    <t>packing</t>
  </si>
  <si>
    <t>strategy</t>
  </si>
  <si>
    <t>develop</t>
  </si>
  <si>
    <t>plan_des</t>
  </si>
  <si>
    <t>prod_tech</t>
  </si>
  <si>
    <t>mfg</t>
  </si>
  <si>
    <t>prod_mgmt</t>
  </si>
  <si>
    <t>qa_cs</t>
  </si>
  <si>
    <t>biz_mgmt</t>
  </si>
  <si>
    <t>biz_dev</t>
  </si>
  <si>
    <t>product</t>
  </si>
  <si>
    <t>parts</t>
  </si>
  <si>
    <t>material</t>
  </si>
  <si>
    <t>design</t>
  </si>
  <si>
    <t>inspect</t>
  </si>
  <si>
    <t>meas_dev</t>
  </si>
  <si>
    <t>general</t>
  </si>
  <si>
    <t>tbl_request</t>
    <phoneticPr fontId="1"/>
  </si>
  <si>
    <t>要件類テーブル</t>
    <rPh sb="0" eb="2">
      <t>ヨウケン</t>
    </rPh>
    <rPh sb="2" eb="3">
      <t>ルイ</t>
    </rPh>
    <phoneticPr fontId="1"/>
  </si>
  <si>
    <t>key_req</t>
    <phoneticPr fontId="1"/>
  </si>
  <si>
    <t>title_capter</t>
    <phoneticPr fontId="1"/>
  </si>
  <si>
    <t>title_section</t>
    <phoneticPr fontId="1"/>
  </si>
  <si>
    <t>unique_search</t>
    <phoneticPr fontId="1"/>
  </si>
  <si>
    <t>reference</t>
    <phoneticPr fontId="1"/>
  </si>
  <si>
    <t>id_cap</t>
    <phoneticPr fontId="1"/>
  </si>
  <si>
    <t>top_body</t>
    <phoneticPr fontId="1"/>
  </si>
  <si>
    <t>low_body</t>
    <phoneticPr fontId="1"/>
  </si>
  <si>
    <t>top_tbl</t>
    <phoneticPr fontId="1"/>
  </si>
  <si>
    <t>top_fig</t>
    <phoneticPr fontId="1"/>
  </si>
  <si>
    <t>low_tbl</t>
    <phoneticPr fontId="1"/>
  </si>
  <si>
    <t>low_fig</t>
    <phoneticPr fontId="1"/>
  </si>
  <si>
    <t>要件類DB</t>
    <rPh sb="0" eb="3">
      <t>ヨウケンルイ</t>
    </rPh>
    <phoneticPr fontId="1"/>
  </si>
  <si>
    <t>販売地域</t>
    <rPh sb="0" eb="4">
      <t>ハンバイチイキ</t>
    </rPh>
    <phoneticPr fontId="1"/>
  </si>
  <si>
    <t>SQLite</t>
  </si>
  <si>
    <t>SQLite</t>
    <phoneticPr fontId="1"/>
  </si>
  <si>
    <t>CREATE</t>
    <phoneticPr fontId="1"/>
  </si>
  <si>
    <t>SQL Server</t>
  </si>
  <si>
    <t>SQL Server</t>
    <phoneticPr fontId="1"/>
  </si>
  <si>
    <t>MongoDB</t>
  </si>
  <si>
    <t>MongoDB</t>
    <phoneticPr fontId="1"/>
  </si>
  <si>
    <t>TEXT</t>
  </si>
  <si>
    <t>INTEGER</t>
    <phoneticPr fontId="1"/>
  </si>
  <si>
    <t>INT</t>
  </si>
  <si>
    <t>整数型</t>
  </si>
  <si>
    <t>一般的な整数型。範囲は -2,147,483,648 から 2,147,483,647。</t>
  </si>
  <si>
    <t>SMALLINT</t>
  </si>
  <si>
    <t>小さめの整数型。範囲は -32,768 から 32,767。</t>
  </si>
  <si>
    <t>非常に小さい整数型。範囲は 0 から 255（符号なし）または -128 から 127（符号あり）。</t>
  </si>
  <si>
    <t>BIGINT</t>
  </si>
  <si>
    <t>大きな整数型。範囲は -9,223,372,036,854,775,808 から 9,223,372,036,854,775,807。</t>
  </si>
  <si>
    <t>FLOAT</t>
  </si>
  <si>
    <t>浮動小数点型</t>
  </si>
  <si>
    <t>単精度の浮動小数点型。精度と範囲は実装に依存。</t>
  </si>
  <si>
    <t>REAL</t>
  </si>
  <si>
    <t>浮動小数点型。通常、FLOATと同義で使用されるが、精度は実装に依存。</t>
  </si>
  <si>
    <t>DECIMAL</t>
  </si>
  <si>
    <t>固定小数点型</t>
  </si>
  <si>
    <t>精度を指定できる固定小数点型。主に金額などの精度が重要なデータに使用。</t>
  </si>
  <si>
    <t>NUMERIC</t>
  </si>
  <si>
    <t>DECIMALと同義。精度を指定できる固定小数点型</t>
  </si>
  <si>
    <t>CHAR</t>
  </si>
  <si>
    <t>固定長文字列型</t>
  </si>
  <si>
    <t>固定長の文字列を格納するためのデータ型です。データの長さが指定された文字数に満たない場合、残りのスペースは空白文字で埋められます。</t>
  </si>
  <si>
    <t>VARCHAR</t>
  </si>
  <si>
    <t>可変長文字列型</t>
  </si>
  <si>
    <t>可変長の文字列を格納するためのデータ型です。格納するデータの長さに応じて、必要な分だけのストレージが使用されます。指定された長さの上限を超えるデータは格納できません。</t>
  </si>
  <si>
    <t>大文字列型</t>
  </si>
  <si>
    <t>非常に長い可変長の文字列を格納するためのデータ型です。通常、VARCHAR よりも大きなサイズの文字列を格納するために使用されます。データベースごとに制限が異なりますが、かなりの大容量を扱うことが可能です。</t>
  </si>
  <si>
    <t>CLOB</t>
  </si>
  <si>
    <t>大規模な文字データを格納するためのデータ型です。TEXT と同様に非常に長い文字列を扱うことができますが、データベースシステムによっては異なる内部処理や制限がある場合があります。</t>
  </si>
  <si>
    <t>DATE</t>
  </si>
  <si>
    <t>日付型</t>
  </si>
  <si>
    <t>年、月、日を表す日付型です。</t>
  </si>
  <si>
    <t>TIME</t>
  </si>
  <si>
    <t>時刻型</t>
  </si>
  <si>
    <t>時、分、秒を表す時刻型です。</t>
  </si>
  <si>
    <t>DATETIME</t>
  </si>
  <si>
    <t>日付時刻型</t>
  </si>
  <si>
    <t>日付と時刻の両方を表す日付時刻型です。</t>
  </si>
  <si>
    <t>DATETIME2</t>
  </si>
  <si>
    <t>DATETIME型の拡張版で、精度が向上した日付時刻型です。ナノ秒までの精度を持つことができます。</t>
  </si>
  <si>
    <t>TIMESTAMP</t>
  </si>
  <si>
    <t>日付と時刻の両方を表すデータ型で、通常はUNIXタイムスタンプとして秒数で格納されます。データベースによっては、自動的に挿入または更新される日時を格納するために使われます。</t>
  </si>
  <si>
    <t>MONEY</t>
  </si>
  <si>
    <t>通貨型</t>
  </si>
  <si>
    <t>SMALLMONEY</t>
  </si>
  <si>
    <t>BOOLEAN</t>
  </si>
  <si>
    <t>ブール型</t>
  </si>
  <si>
    <t>真 (TRUE) または偽 (FALSE) のいずれかの値を格納する</t>
  </si>
  <si>
    <t>BINARY</t>
  </si>
  <si>
    <t>固定長バイナリ型</t>
  </si>
  <si>
    <t>固定長のバイナリデータを格納する</t>
  </si>
  <si>
    <t>VARBINARY</t>
  </si>
  <si>
    <t>可変長バイナリ型</t>
  </si>
  <si>
    <t>可変長のバイナリデータを格納する</t>
  </si>
  <si>
    <t>BLOB</t>
  </si>
  <si>
    <t>大バイナリ型</t>
  </si>
  <si>
    <t>大きなバイナリデータ（Binary Large Object）を格納する</t>
  </si>
  <si>
    <t>NULL</t>
  </si>
  <si>
    <t>REAL</t>
    <phoneticPr fontId="1"/>
  </si>
  <si>
    <t>Desc</t>
    <phoneticPr fontId="1"/>
  </si>
  <si>
    <t>大きな通貨の値を格納する。高精度の通貨計算が必要な場合に使用されます。例えば、金融トランザクション、給与計算、請求書の金額など。
範囲:
-922,337,203,685,477.5808 から 922,337,203,685,477.5807（小数点以下4桁）</t>
    <phoneticPr fontId="1"/>
  </si>
  <si>
    <t>小さな通貨の値を格納する。小規模の金額を管理する際に使用されます。例えば、少額の取引、予算管理、日常的な経費など。
範囲: -214,748.3648 から 214,748.3647（小数点以下4桁）</t>
    <phoneticPr fontId="1"/>
  </si>
  <si>
    <t>NOT NULL</t>
  </si>
  <si>
    <t>NOT NULL</t>
    <phoneticPr fontId="1"/>
  </si>
  <si>
    <t>Y</t>
  </si>
  <si>
    <t>N</t>
  </si>
  <si>
    <t>Note</t>
    <phoneticPr fontId="1"/>
  </si>
  <si>
    <t>対応</t>
    <rPh sb="0" eb="2">
      <t>タイオウ</t>
    </rPh>
    <phoneticPr fontId="1"/>
  </si>
  <si>
    <t>非対応</t>
    <rPh sb="0" eb="3">
      <t>ヒタイオウ</t>
    </rPh>
    <phoneticPr fontId="1"/>
  </si>
  <si>
    <t>PRIMARY KEY</t>
    <phoneticPr fontId="1"/>
  </si>
  <si>
    <t>元文書へのURL</t>
  </si>
  <si>
    <t>大分類キー</t>
  </si>
  <si>
    <t>保存先フォルダのパス</t>
  </si>
  <si>
    <t>中分類キー</t>
  </si>
  <si>
    <t>小分類キー</t>
  </si>
  <si>
    <t>英語名称</t>
  </si>
  <si>
    <t>日本語名称</t>
  </si>
  <si>
    <t>対応する大分類key_cat_type</t>
  </si>
  <si>
    <t>対応する中分類key_cat_major</t>
  </si>
  <si>
    <t>小分類キー</t>
    <phoneticPr fontId="1"/>
  </si>
  <si>
    <t>状態ID（0:作成中 1:制定版 2:廃止）</t>
  </si>
  <si>
    <t>英語コード</t>
  </si>
  <si>
    <t>制定日など</t>
  </si>
  <si>
    <t>制定日など</t>
    <phoneticPr fontId="1"/>
  </si>
  <si>
    <t>改訂日など</t>
  </si>
  <si>
    <t>改訂日など</t>
    <phoneticPr fontId="1"/>
  </si>
  <si>
    <t>状態ID</t>
  </si>
  <si>
    <t>状態ID</t>
    <phoneticPr fontId="1"/>
  </si>
  <si>
    <t>文書名</t>
  </si>
  <si>
    <t>文書名</t>
    <phoneticPr fontId="1"/>
  </si>
  <si>
    <t>文書ID</t>
  </si>
  <si>
    <t>文書ID</t>
    <phoneticPr fontId="1"/>
  </si>
  <si>
    <t>対応する大分類</t>
    <phoneticPr fontId="1"/>
  </si>
  <si>
    <t>対応する中分類</t>
    <phoneticPr fontId="1"/>
  </si>
  <si>
    <t>キー大分類キー</t>
    <phoneticPr fontId="1"/>
  </si>
  <si>
    <t>販売地域ID</t>
    <rPh sb="0" eb="4">
      <t>ハンバイチイキ</t>
    </rPh>
    <phoneticPr fontId="1"/>
  </si>
  <si>
    <t>装備</t>
    <rPh sb="0" eb="2">
      <t>ソウビ</t>
    </rPh>
    <phoneticPr fontId="1"/>
  </si>
  <si>
    <t>製品ジャンル</t>
    <rPh sb="0" eb="2">
      <t>セイヒン</t>
    </rPh>
    <phoneticPr fontId="1"/>
  </si>
  <si>
    <t>製品ジャンル</t>
    <phoneticPr fontId="1"/>
  </si>
  <si>
    <t>装備ID</t>
    <rPh sb="0" eb="2">
      <t>ソウビ</t>
    </rPh>
    <phoneticPr fontId="1"/>
  </si>
  <si>
    <t>製品ジャンルID</t>
    <phoneticPr fontId="1"/>
  </si>
  <si>
    <t>設計領域テーブル</t>
    <rPh sb="0" eb="4">
      <t>セッケイリョウイキ</t>
    </rPh>
    <phoneticPr fontId="1"/>
  </si>
  <si>
    <t>販売地域テーブル</t>
    <rPh sb="0" eb="4">
      <t>ハンバイチイキ</t>
    </rPh>
    <phoneticPr fontId="1"/>
  </si>
  <si>
    <t>装備テーブル</t>
    <rPh sb="0" eb="2">
      <t>ソウビ</t>
    </rPh>
    <phoneticPr fontId="1"/>
  </si>
  <si>
    <t>設計領域ID</t>
    <phoneticPr fontId="1"/>
  </si>
  <si>
    <t>章ID</t>
    <rPh sb="0" eb="1">
      <t>ショウ</t>
    </rPh>
    <phoneticPr fontId="1"/>
  </si>
  <si>
    <t>章名称</t>
    <rPh sb="0" eb="1">
      <t>ショウ</t>
    </rPh>
    <rPh sb="1" eb="3">
      <t>メイショウ</t>
    </rPh>
    <phoneticPr fontId="1"/>
  </si>
  <si>
    <t>節名称</t>
    <rPh sb="0" eb="1">
      <t>セツ</t>
    </rPh>
    <rPh sb="1" eb="3">
      <t>メイショウ</t>
    </rPh>
    <phoneticPr fontId="1"/>
  </si>
  <si>
    <t>設計領域</t>
    <rPh sb="0" eb="4">
      <t>セッケイリョウイキ</t>
    </rPh>
    <phoneticPr fontId="1"/>
  </si>
  <si>
    <t>要件カテゴリ</t>
    <rPh sb="0" eb="2">
      <t>ヨウケン</t>
    </rPh>
    <phoneticPr fontId="1"/>
  </si>
  <si>
    <t>要件キー</t>
    <rPh sb="0" eb="2">
      <t>ヨウケン</t>
    </rPh>
    <phoneticPr fontId="1"/>
  </si>
  <si>
    <t>基準キー</t>
  </si>
  <si>
    <t>基準キー</t>
    <phoneticPr fontId="1"/>
  </si>
  <si>
    <t>本文(上)</t>
    <rPh sb="0" eb="2">
      <t>ホンブン</t>
    </rPh>
    <rPh sb="3" eb="4">
      <t>ウエ</t>
    </rPh>
    <phoneticPr fontId="1"/>
  </si>
  <si>
    <t>本文(下)</t>
    <rPh sb="0" eb="2">
      <t>ホンブン</t>
    </rPh>
    <rPh sb="3" eb="4">
      <t>シタ</t>
    </rPh>
    <phoneticPr fontId="1"/>
  </si>
  <si>
    <t>表(上)</t>
    <rPh sb="0" eb="1">
      <t>ヒョウ</t>
    </rPh>
    <rPh sb="2" eb="3">
      <t>ウエ</t>
    </rPh>
    <phoneticPr fontId="1"/>
  </si>
  <si>
    <t>図(上)</t>
    <rPh sb="0" eb="1">
      <t>ズ</t>
    </rPh>
    <rPh sb="2" eb="3">
      <t>ウエ</t>
    </rPh>
    <phoneticPr fontId="1"/>
  </si>
  <si>
    <t>表(下)</t>
    <rPh sb="0" eb="1">
      <t>ヒョウ</t>
    </rPh>
    <rPh sb="2" eb="3">
      <t>シタ</t>
    </rPh>
    <phoneticPr fontId="1"/>
  </si>
  <si>
    <t>図(下)</t>
    <rPh sb="0" eb="1">
      <t>ズ</t>
    </rPh>
    <rPh sb="2" eb="3">
      <t>シタ</t>
    </rPh>
    <phoneticPr fontId="1"/>
  </si>
  <si>
    <t>参照</t>
    <rPh sb="0" eb="2">
      <t>サンショウ</t>
    </rPh>
    <phoneticPr fontId="1"/>
  </si>
  <si>
    <t>key_cat_request</t>
    <phoneticPr fontId="1"/>
  </si>
  <si>
    <t>tbl_cat_request</t>
    <phoneticPr fontId="1"/>
  </si>
  <si>
    <t>対応フェーズ</t>
    <rPh sb="0" eb="2">
      <t>タイオウ</t>
    </rPh>
    <phoneticPr fontId="1"/>
  </si>
  <si>
    <t>個人情報</t>
    <rPh sb="0" eb="4">
      <t>コジンジョウホウ</t>
    </rPh>
    <phoneticPr fontId="1"/>
  </si>
  <si>
    <t>列12</t>
  </si>
  <si>
    <t>列14</t>
  </si>
  <si>
    <t>key_cat_phase</t>
    <phoneticPr fontId="1"/>
  </si>
  <si>
    <t>lead_time</t>
    <phoneticPr fontId="1"/>
  </si>
  <si>
    <t>サービスジャンル</t>
    <phoneticPr fontId="1"/>
  </si>
  <si>
    <t>scope_product_genre</t>
    <phoneticPr fontId="1"/>
  </si>
  <si>
    <t>scope_service_genre</t>
    <phoneticPr fontId="1"/>
  </si>
  <si>
    <t>scope_equipment</t>
    <phoneticPr fontId="1"/>
  </si>
  <si>
    <t>scope_pii</t>
    <phoneticPr fontId="1"/>
  </si>
  <si>
    <t>scope_design_domain</t>
    <phoneticPr fontId="1"/>
  </si>
  <si>
    <t>リードタイム</t>
  </si>
  <si>
    <t>リードタイム</t>
    <phoneticPr fontId="1"/>
  </si>
  <si>
    <t>要求カテゴリID</t>
    <rPh sb="0" eb="2">
      <t>ヨウキュウ</t>
    </rPh>
    <phoneticPr fontId="1"/>
  </si>
  <si>
    <t>対応フェーズID</t>
    <rPh sb="0" eb="2">
      <t>タイオウ</t>
    </rPh>
    <phoneticPr fontId="1"/>
  </si>
  <si>
    <t>固有条件</t>
    <rPh sb="0" eb="2">
      <t>コユウ</t>
    </rPh>
    <rPh sb="2" eb="4">
      <t>ジョウケン</t>
    </rPh>
    <phoneticPr fontId="1"/>
  </si>
  <si>
    <t>製品ジャンル(複数指定可 中間テーブル初回生成用)</t>
    <rPh sb="0" eb="2">
      <t>セイヒン</t>
    </rPh>
    <rPh sb="7" eb="11">
      <t>フクスウ</t>
    </rPh>
    <rPh sb="11" eb="12">
      <t>カ</t>
    </rPh>
    <rPh sb="13" eb="15">
      <t>チュウカン</t>
    </rPh>
    <rPh sb="19" eb="21">
      <t>ショカイ</t>
    </rPh>
    <rPh sb="21" eb="23">
      <t>セイセイ</t>
    </rPh>
    <rPh sb="23" eb="24">
      <t>ヨウ</t>
    </rPh>
    <phoneticPr fontId="1"/>
  </si>
  <si>
    <t>サービスジャンル(複数指定可 中間テーブル初回生成用)</t>
    <phoneticPr fontId="1"/>
  </si>
  <si>
    <t>装備(複数指定可 中間テーブル初回生成用)</t>
    <rPh sb="0" eb="2">
      <t>ソウビ</t>
    </rPh>
    <phoneticPr fontId="1"/>
  </si>
  <si>
    <t>個人情報(複数指定可 中間テーブル初回生成用)</t>
    <rPh sb="0" eb="4">
      <t>コジンジョウホウ</t>
    </rPh>
    <phoneticPr fontId="1"/>
  </si>
  <si>
    <t>設計領域(複数指定可 中間テーブル初回生成用)</t>
    <rPh sb="0" eb="4">
      <t>セッケイリョウイキ</t>
    </rPh>
    <phoneticPr fontId="1"/>
  </si>
  <si>
    <t>固有条件(複数指定可 中間テーブル初回生成用)</t>
    <rPh sb="0" eb="2">
      <t>コユウ</t>
    </rPh>
    <rPh sb="2" eb="4">
      <t>ジョウケン</t>
    </rPh>
    <phoneticPr fontId="1"/>
  </si>
  <si>
    <t>CSV</t>
    <phoneticPr fontId="1"/>
  </si>
  <si>
    <t>SQL Type</t>
    <phoneticPr fontId="1"/>
  </si>
  <si>
    <t>テーブル</t>
    <phoneticPr fontId="1"/>
  </si>
  <si>
    <t>offset</t>
    <phoneticPr fontId="1"/>
  </si>
  <si>
    <t>ルール通し番号</t>
    <phoneticPr fontId="1"/>
  </si>
  <si>
    <t>元文書へのURL</t>
    <phoneticPr fontId="1"/>
  </si>
  <si>
    <t>hs_code</t>
    <phoneticPr fontId="1"/>
  </si>
  <si>
    <t>tbl_cat_phase</t>
    <phoneticPr fontId="1"/>
  </si>
  <si>
    <t>scp_</t>
    <phoneticPr fontId="1"/>
  </si>
  <si>
    <t>適用範囲の接頭語</t>
    <rPh sb="0" eb="4">
      <t>テキヨウハンイ</t>
    </rPh>
    <rPh sb="5" eb="8">
      <t>セットウゴ</t>
    </rPh>
    <phoneticPr fontId="1"/>
  </si>
  <si>
    <t>tbl_scp_design_domain</t>
    <phoneticPr fontId="1"/>
  </si>
  <si>
    <t>tbl_scp_equipment</t>
    <phoneticPr fontId="1"/>
  </si>
  <si>
    <t>tbl_scp_service_genre</t>
    <phoneticPr fontId="1"/>
  </si>
  <si>
    <t>tbl_scp_product_genre</t>
    <phoneticPr fontId="1"/>
  </si>
  <si>
    <t>tbl_scp_sales_region</t>
    <phoneticPr fontId="1"/>
  </si>
  <si>
    <t>key_scp_product_genre</t>
    <phoneticPr fontId="1"/>
  </si>
  <si>
    <t>key_scp_service_genre</t>
    <phoneticPr fontId="1"/>
  </si>
  <si>
    <t>key_scp_equipment</t>
    <phoneticPr fontId="1"/>
  </si>
  <si>
    <t>key_scp_design_domain</t>
    <phoneticPr fontId="1"/>
  </si>
  <si>
    <t>key_scp_sales_region</t>
    <phoneticPr fontId="1"/>
  </si>
  <si>
    <t>tbl_scp_pii</t>
    <phoneticPr fontId="1"/>
  </si>
  <si>
    <t>key_scp_pii</t>
    <phoneticPr fontId="1"/>
  </si>
  <si>
    <t>PYTHON</t>
    <phoneticPr fontId="1"/>
  </si>
  <si>
    <t>KEY_KEY_CAT_TYPE                            : Final[str] = "KEY_CAT_TYPE"# キー大分類キー</t>
    <phoneticPr fontId="1"/>
  </si>
  <si>
    <t>country_code_2</t>
    <phoneticPr fontId="1"/>
  </si>
  <si>
    <t>country_code_3</t>
    <phoneticPr fontId="1"/>
  </si>
  <si>
    <t>国コード３桁</t>
    <rPh sb="0" eb="1">
      <t>クニ</t>
    </rPh>
    <rPh sb="5" eb="6">
      <t>ケタ</t>
    </rPh>
    <phoneticPr fontId="1"/>
  </si>
  <si>
    <t>国コード２桁</t>
    <rPh sb="0" eb="1">
      <t>クニ</t>
    </rPh>
    <rPh sb="5" eb="6">
      <t>ケタ</t>
    </rPh>
    <phoneticPr fontId="1"/>
  </si>
  <si>
    <t>国コード３桁 ISO 3166-1 alpha-3</t>
    <rPh sb="0" eb="1">
      <t>クニ</t>
    </rPh>
    <rPh sb="5" eb="6">
      <t>ケタ</t>
    </rPh>
    <phoneticPr fontId="1"/>
  </si>
  <si>
    <t>国コード２桁 ISO 3166-1 alpha-2</t>
    <rPh sb="0" eb="1">
      <t>クニ</t>
    </rPh>
    <rPh sb="5" eb="6">
      <t>ケタ</t>
    </rPh>
    <phoneticPr fontId="1"/>
  </si>
  <si>
    <t>HSコード</t>
    <phoneticPr fontId="1"/>
  </si>
  <si>
    <t>試験条件</t>
    <rPh sb="0" eb="4">
      <t>シケンジョウケン</t>
    </rPh>
    <phoneticPr fontId="1"/>
  </si>
  <si>
    <t>合格基準</t>
    <rPh sb="0" eb="4">
      <t>ゴウカクキジュン</t>
    </rPh>
    <phoneticPr fontId="1"/>
  </si>
  <si>
    <t>試験条件</t>
    <phoneticPr fontId="1"/>
  </si>
  <si>
    <t>試験内容</t>
    <rPh sb="0" eb="4">
      <t>シケンナイヨウ</t>
    </rPh>
    <phoneticPr fontId="1"/>
  </si>
  <si>
    <t>プラグ残留電圧</t>
    <rPh sb="3" eb="5">
      <t>ザンリュウ</t>
    </rPh>
    <rPh sb="5" eb="7">
      <t>デンアツ</t>
    </rPh>
    <phoneticPr fontId="1"/>
  </si>
  <si>
    <t>試験方法</t>
    <phoneticPr fontId="1"/>
  </si>
  <si>
    <t>判定基準</t>
    <phoneticPr fontId="1"/>
  </si>
  <si>
    <t>①  製品状態：プラグ残留電圧が最大となるよう設定する。
②  周囲温度：常温常湿
③  対象製品：商用電源を使用する製品</t>
    <phoneticPr fontId="1"/>
  </si>
  <si>
    <t>①  製品を１分以上動作させて電源プラグ抜き、１秒後のプラグに残留する電圧をストレージオシロスコープ等で測定する。
②  測定は、放電するのに充分な時間間隔をおいて１０回以上おこない、その最大値を測定値とする。</t>
    <phoneticPr fontId="1"/>
  </si>
  <si>
    <t>プラグ残留電圧は時定数（ｔｉｍｅ ｃｏｎｓｔａｎｔ）１秒以下であること。
図のようにプラグに残留する電圧が３６．８％まで降下するのに1秒以下でなければならない。</t>
    <phoneticPr fontId="1"/>
  </si>
  <si>
    <t>全般</t>
    <rPh sb="0" eb="2">
      <t>ゼンパン</t>
    </rPh>
    <phoneticPr fontId="1"/>
  </si>
  <si>
    <t>key_cat_req_type</t>
    <phoneticPr fontId="1"/>
  </si>
  <si>
    <t>req_type</t>
    <phoneticPr fontId="1"/>
  </si>
  <si>
    <t>商品化アクション</t>
    <rPh sb="0" eb="3">
      <t>ショウヒンカ</t>
    </rPh>
    <phoneticPr fontId="1"/>
  </si>
  <si>
    <t>商品化説明</t>
    <rPh sb="3" eb="5">
      <t>セツメイ</t>
    </rPh>
    <phoneticPr fontId="1"/>
  </si>
  <si>
    <t>商品化チェック項目</t>
    <rPh sb="7" eb="9">
      <t>コウモク</t>
    </rPh>
    <phoneticPr fontId="1"/>
  </si>
  <si>
    <t>商品化アクション＆チェック項目</t>
    <rPh sb="13" eb="15">
      <t>コウモク</t>
    </rPh>
    <phoneticPr fontId="1"/>
  </si>
  <si>
    <t>商品化に関わらない内容</t>
    <rPh sb="0" eb="3">
      <t>ショウヒンカ</t>
    </rPh>
    <rPh sb="4" eb="5">
      <t>カカ</t>
    </rPh>
    <rPh sb="9" eb="11">
      <t>ナイヨウ</t>
    </rPh>
    <phoneticPr fontId="1"/>
  </si>
  <si>
    <t>適合範囲</t>
    <rPh sb="0" eb="2">
      <t>テキゴウ</t>
    </rPh>
    <rPh sb="2" eb="4">
      <t>ハンイ</t>
    </rPh>
    <phoneticPr fontId="1"/>
  </si>
  <si>
    <t>~DR0</t>
    <phoneticPr fontId="1"/>
  </si>
  <si>
    <t>~DR1</t>
  </si>
  <si>
    <t>~DR2</t>
  </si>
  <si>
    <t>~DR3</t>
  </si>
  <si>
    <t>~DR4</t>
  </si>
  <si>
    <t>~DR5</t>
  </si>
  <si>
    <t>アメリカ</t>
    <phoneticPr fontId="1"/>
  </si>
  <si>
    <t>カナダ</t>
    <phoneticPr fontId="1"/>
  </si>
  <si>
    <t>EU</t>
    <phoneticPr fontId="1"/>
  </si>
  <si>
    <t>フランス</t>
    <phoneticPr fontId="1"/>
  </si>
  <si>
    <t>イタリア</t>
    <phoneticPr fontId="1"/>
  </si>
  <si>
    <t>スペイン</t>
    <phoneticPr fontId="1"/>
  </si>
  <si>
    <t>日本</t>
    <rPh sb="0" eb="1">
      <t>ニホン</t>
    </rPh>
    <phoneticPr fontId="1"/>
  </si>
  <si>
    <t>トルコ</t>
    <phoneticPr fontId="1"/>
  </si>
  <si>
    <t>ウクライナ</t>
    <phoneticPr fontId="1"/>
  </si>
  <si>
    <t>中国</t>
    <rPh sb="0" eb="1">
      <t>チュウゴク</t>
    </rPh>
    <phoneticPr fontId="1"/>
  </si>
  <si>
    <t>インド</t>
    <phoneticPr fontId="1"/>
  </si>
  <si>
    <t>台湾</t>
    <rPh sb="0" eb="1">
      <t>タイワン</t>
    </rPh>
    <phoneticPr fontId="1"/>
  </si>
  <si>
    <t>UAE</t>
    <phoneticPr fontId="1"/>
  </si>
  <si>
    <t>韓国</t>
    <rPh sb="0" eb="1">
      <t>カンコク</t>
    </rPh>
    <phoneticPr fontId="1"/>
  </si>
  <si>
    <t>EAEU</t>
    <phoneticPr fontId="1"/>
  </si>
  <si>
    <t>ベトナム</t>
    <phoneticPr fontId="1"/>
  </si>
  <si>
    <t>モンテネグロ</t>
    <phoneticPr fontId="1"/>
  </si>
  <si>
    <t>ノルウェー</t>
    <phoneticPr fontId="1"/>
  </si>
  <si>
    <t>UK</t>
    <phoneticPr fontId="1"/>
  </si>
  <si>
    <t>KSA</t>
    <phoneticPr fontId="1"/>
  </si>
  <si>
    <t>シンガポール</t>
    <phoneticPr fontId="1"/>
  </si>
  <si>
    <t>ブラジル</t>
    <phoneticPr fontId="1"/>
  </si>
  <si>
    <t>メキシコ</t>
    <phoneticPr fontId="1"/>
  </si>
  <si>
    <t>チリ</t>
    <phoneticPr fontId="1"/>
  </si>
  <si>
    <t>アルゼンチン</t>
    <phoneticPr fontId="1"/>
  </si>
  <si>
    <t>USA</t>
  </si>
  <si>
    <t>Canada</t>
  </si>
  <si>
    <t>France</t>
  </si>
  <si>
    <t>United States</t>
  </si>
  <si>
    <t>EU</t>
  </si>
  <si>
    <t>Italy</t>
  </si>
  <si>
    <t>Spain</t>
  </si>
  <si>
    <t>Japan</t>
  </si>
  <si>
    <t>Turkey</t>
  </si>
  <si>
    <t>Ukraine</t>
  </si>
  <si>
    <t>China</t>
  </si>
  <si>
    <t>India</t>
  </si>
  <si>
    <t>Taiwan</t>
  </si>
  <si>
    <t>UAE</t>
  </si>
  <si>
    <t>South Korea</t>
  </si>
  <si>
    <t>EAEU</t>
  </si>
  <si>
    <t>Vietnam</t>
  </si>
  <si>
    <t>Montenegro</t>
  </si>
  <si>
    <t>Norway</t>
  </si>
  <si>
    <t>UK</t>
  </si>
  <si>
    <t>KSA</t>
  </si>
  <si>
    <t>Singapore</t>
  </si>
  <si>
    <t>Brazil</t>
  </si>
  <si>
    <t>Mexico</t>
  </si>
  <si>
    <t>Chile</t>
  </si>
  <si>
    <t>Argentina</t>
  </si>
  <si>
    <t>オーストラリア</t>
    <phoneticPr fontId="1"/>
  </si>
  <si>
    <t>ニュージーランド</t>
  </si>
  <si>
    <t>Australia</t>
    <phoneticPr fontId="1"/>
  </si>
  <si>
    <t>New Zealand</t>
    <phoneticPr fontId="1"/>
  </si>
  <si>
    <t>US</t>
  </si>
  <si>
    <t>CA</t>
  </si>
  <si>
    <t>CAN</t>
  </si>
  <si>
    <t>—</t>
  </si>
  <si>
    <t>FR</t>
  </si>
  <si>
    <t>FRA</t>
  </si>
  <si>
    <t>IT</t>
  </si>
  <si>
    <t>ITA</t>
  </si>
  <si>
    <t>ES</t>
  </si>
  <si>
    <t>ESP</t>
  </si>
  <si>
    <t>JP</t>
  </si>
  <si>
    <t>JPN</t>
  </si>
  <si>
    <t>TR</t>
  </si>
  <si>
    <t>TUR</t>
  </si>
  <si>
    <t>UA</t>
  </si>
  <si>
    <t>UKR</t>
  </si>
  <si>
    <t>CN</t>
  </si>
  <si>
    <t>CHN</t>
  </si>
  <si>
    <t>IN</t>
  </si>
  <si>
    <t>IND</t>
  </si>
  <si>
    <t>TW</t>
  </si>
  <si>
    <t>TWN</t>
  </si>
  <si>
    <t>AE</t>
  </si>
  <si>
    <t>ARE</t>
  </si>
  <si>
    <t>KR</t>
  </si>
  <si>
    <t>KOR</t>
  </si>
  <si>
    <t>VN</t>
  </si>
  <si>
    <t>VNM</t>
  </si>
  <si>
    <t>ME</t>
  </si>
  <si>
    <t>MNE</t>
  </si>
  <si>
    <t>NO</t>
  </si>
  <si>
    <t>NOR</t>
  </si>
  <si>
    <t>GB</t>
  </si>
  <si>
    <t>GBR</t>
  </si>
  <si>
    <t>SA</t>
  </si>
  <si>
    <t>SAU</t>
  </si>
  <si>
    <t>SG</t>
  </si>
  <si>
    <t>SGP</t>
  </si>
  <si>
    <t>BR</t>
  </si>
  <si>
    <t>BRA</t>
  </si>
  <si>
    <t>MX</t>
  </si>
  <si>
    <t>MEX</t>
  </si>
  <si>
    <t>CL</t>
  </si>
  <si>
    <t>CHL</t>
  </si>
  <si>
    <t>AR</t>
  </si>
  <si>
    <t>ARG</t>
  </si>
  <si>
    <t>AU</t>
    <phoneticPr fontId="1"/>
  </si>
  <si>
    <t>AUS</t>
  </si>
  <si>
    <t>NZ</t>
    <phoneticPr fontId="1"/>
  </si>
  <si>
    <t>NZL</t>
    <phoneticPr fontId="1"/>
  </si>
  <si>
    <t>全部</t>
    <rPh sb="0" eb="2">
      <t>ゼンブ</t>
    </rPh>
    <phoneticPr fontId="1"/>
  </si>
  <si>
    <t>LCP本体</t>
    <rPh sb="3" eb="5">
      <t>ホンタイ</t>
    </rPh>
    <phoneticPr fontId="1"/>
  </si>
  <si>
    <t>LCPオプション</t>
    <phoneticPr fontId="1"/>
  </si>
  <si>
    <t>スクリーン</t>
    <phoneticPr fontId="1"/>
  </si>
  <si>
    <t>書画カメラ</t>
    <rPh sb="0" eb="2">
      <t>ショガ</t>
    </rPh>
    <phoneticPr fontId="1"/>
  </si>
  <si>
    <t>PCアプリ</t>
    <phoneticPr fontId="1"/>
  </si>
  <si>
    <t>FW</t>
    <phoneticPr fontId="1"/>
  </si>
  <si>
    <t>SDK</t>
    <phoneticPr fontId="1"/>
  </si>
  <si>
    <t>Webページ</t>
    <phoneticPr fontId="1"/>
  </si>
  <si>
    <t>Webサービス</t>
    <phoneticPr fontId="1"/>
  </si>
  <si>
    <t>ACDC変換</t>
    <rPh sb="4" eb="6">
      <t>ヘンカン</t>
    </rPh>
    <phoneticPr fontId="1"/>
  </si>
  <si>
    <t>ACアダプター</t>
    <phoneticPr fontId="1"/>
  </si>
  <si>
    <t>リチウムイオン電池</t>
    <rPh sb="7" eb="9">
      <t>デンチ</t>
    </rPh>
    <phoneticPr fontId="1"/>
  </si>
  <si>
    <t>その他電池</t>
    <rPh sb="2" eb="3">
      <t>タ</t>
    </rPh>
    <rPh sb="3" eb="5">
      <t>デンチ</t>
    </rPh>
    <phoneticPr fontId="1"/>
  </si>
  <si>
    <t>無し</t>
    <rPh sb="0" eb="1">
      <t>ナ</t>
    </rPh>
    <phoneticPr fontId="1"/>
  </si>
  <si>
    <t>個人情報レベル2</t>
    <rPh sb="0" eb="4">
      <t>コジンジョウホウ</t>
    </rPh>
    <phoneticPr fontId="1"/>
  </si>
  <si>
    <t>メカ</t>
    <phoneticPr fontId="1"/>
  </si>
  <si>
    <t>エレキ</t>
    <phoneticPr fontId="1"/>
  </si>
  <si>
    <t>ソフト</t>
    <phoneticPr fontId="1"/>
  </si>
  <si>
    <t>表示</t>
    <rPh sb="0" eb="2">
      <t>ヒョウジ</t>
    </rPh>
    <phoneticPr fontId="1"/>
  </si>
  <si>
    <t>梱包</t>
    <rPh sb="0" eb="2">
      <t>コンポウ</t>
    </rPh>
    <phoneticPr fontId="1"/>
  </si>
  <si>
    <t>認証</t>
    <rPh sb="0" eb="2">
      <t>ニンショウ</t>
    </rPh>
    <phoneticPr fontId="1"/>
  </si>
  <si>
    <t>Mecha</t>
    <phoneticPr fontId="1"/>
  </si>
  <si>
    <t>Elec</t>
    <phoneticPr fontId="1"/>
  </si>
  <si>
    <t>Soft</t>
    <phoneticPr fontId="1"/>
  </si>
  <si>
    <t>Display</t>
    <phoneticPr fontId="1"/>
  </si>
  <si>
    <t>Package</t>
    <phoneticPr fontId="1"/>
  </si>
  <si>
    <t>Certification</t>
    <phoneticPr fontId="1"/>
  </si>
  <si>
    <t>製造</t>
    <rPh sb="0" eb="2">
      <t>セイゾウ</t>
    </rPh>
    <phoneticPr fontId="1"/>
  </si>
  <si>
    <t>Manufacturing</t>
    <phoneticPr fontId="1"/>
  </si>
  <si>
    <t>要件種類ID</t>
    <rPh sb="0" eb="2">
      <t>ヨウケン</t>
    </rPh>
    <rPh sb="2" eb="4">
      <t>シュルイ</t>
    </rPh>
    <phoneticPr fontId="1"/>
  </si>
  <si>
    <t>要件種類</t>
    <rPh sb="0" eb="4">
      <t>ヨウケンシュルイ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</si>
</sst>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000"/>
    <numFmt numFmtId="177" formatCode="yyyy/m/d;@"/>
    <numFmt numFmtId="178" formatCode="yyyy/m/d\ hh:mm;@"/>
    <numFmt numFmtId="179" formatCode="00000"/>
    <numFmt numFmtId="180" formatCode="0000000"/>
    <numFmt numFmtId="181" formatCode="yyyy/m/d\ h:mm;@"/>
    <numFmt numFmtId="182" formatCode="00000000"/>
  </numFmts>
  <fonts count="17" x14ac:knownFonts="1">
    <font>
      <sz val="10"/>
      <color theme="1"/>
      <name val="Segoe UI"/>
      <family val="2"/>
      <charset val="128"/>
    </font>
    <font>
      <sz val="6"/>
      <name val="Segoe UI"/>
      <family val="2"/>
      <charset val="128"/>
    </font>
    <font>
      <u/>
      <sz val="10"/>
      <color theme="10"/>
      <name val="Segoe UI"/>
      <family val="2"/>
      <charset val="128"/>
    </font>
    <font>
      <sz val="10"/>
      <color theme="1"/>
      <name val="Segoe UI"/>
      <family val="2"/>
    </font>
    <font>
      <sz val="9"/>
      <color theme="1"/>
      <name val="Meiryo UI"/>
      <family val="3"/>
      <charset val="128"/>
    </font>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1"/>
      <name val="游ゴシック"/>
      <family val="2"/>
      <scheme val="minor"/>
    </font>
    <font>
      <sz val="10"/>
      <color theme="1"/>
      <name val="ＭＳ Ｐゴシック"/>
      <family val="2"/>
      <charset val="128"/>
    </font>
    <font>
      <sz val="10"/>
      <color theme="1"/>
      <name val="Meiryo UI"/>
      <family val="3"/>
      <charset val="128"/>
    </font>
    <font>
      <u/>
      <sz val="10"/>
      <color theme="10"/>
      <name val="Meiryo UI"/>
      <family val="3"/>
      <charset val="128"/>
    </font>
    <font>
      <sz val="10"/>
      <color theme="1"/>
      <name val="ＭＳ ゴシック"/>
      <family val="3"/>
      <charset val="128"/>
    </font>
    <font>
      <sz val="9"/>
      <color theme="1"/>
      <name val="Segoe UI"/>
      <family val="2"/>
      <charset val="128"/>
    </font>
    <font>
      <b/>
      <sz val="10"/>
      <color theme="0"/>
      <name val="Meiryo UI"/>
      <family val="3"/>
      <charset val="128"/>
    </font>
    <font>
      <sz val="10"/>
      <color theme="1"/>
      <name val="Segoe UI"/>
      <family val="3"/>
      <charset val="128"/>
    </font>
    <font>
      <b/>
      <sz val="10"/>
      <color theme="1"/>
      <name val="Segoe UI"/>
      <family val="2"/>
    </font>
  </fonts>
  <fills count="7">
    <fill>
      <patternFill patternType="none"/>
    </fill>
    <fill>
      <patternFill patternType="gray125"/>
    </fill>
    <fill>
      <patternFill patternType="solid">
        <fgColor theme="7"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7" tint="0.79998168889431442"/>
        <bgColor theme="7" tint="0.79998168889431442"/>
      </patternFill>
    </fill>
    <fill>
      <patternFill patternType="solid">
        <fgColor theme="7"/>
        <bgColor theme="7"/>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6">
    <xf numFmtId="0" fontId="0" fillId="0" borderId="0">
      <alignment vertical="center"/>
    </xf>
    <xf numFmtId="0" fontId="2" fillId="0" borderId="0" applyNumberFormat="0" applyFill="0" applyBorder="0" applyAlignment="0" applyProtection="0">
      <alignment vertical="center"/>
    </xf>
    <xf numFmtId="0" fontId="5"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cellStyleXfs>
  <cellXfs count="82">
    <xf numFmtId="0" fontId="0" fillId="0" borderId="0" xfId="0">
      <alignment vertical="center"/>
    </xf>
    <xf numFmtId="0" fontId="4" fillId="0" borderId="0" xfId="0" applyFont="1" applyAlignment="1">
      <alignment horizontal="left" vertical="center"/>
    </xf>
    <xf numFmtId="0" fontId="4" fillId="0" borderId="0" xfId="0" applyFont="1">
      <alignment vertical="center"/>
    </xf>
    <xf numFmtId="0" fontId="4" fillId="0" borderId="0" xfId="0" applyFont="1" applyAlignment="1">
      <alignment horizontal="center" vertical="center"/>
    </xf>
    <xf numFmtId="0" fontId="4" fillId="0" borderId="0" xfId="2" applyFont="1" applyAlignment="1">
      <alignment horizontal="center" vertical="center"/>
    </xf>
    <xf numFmtId="0" fontId="9" fillId="0" borderId="0" xfId="0" applyFont="1">
      <alignment vertical="center"/>
    </xf>
    <xf numFmtId="0" fontId="0" fillId="0" borderId="0" xfId="0" applyAlignment="1">
      <alignment horizontal="center" vertical="center"/>
    </xf>
    <xf numFmtId="0" fontId="9" fillId="0" borderId="0" xfId="0" applyFont="1" applyAlignment="1">
      <alignment horizontal="center" vertical="center"/>
    </xf>
    <xf numFmtId="0" fontId="2" fillId="0" borderId="0" xfId="1" applyFill="1">
      <alignment vertical="center"/>
    </xf>
    <xf numFmtId="0" fontId="4" fillId="0" borderId="0" xfId="1" applyFont="1" applyFill="1">
      <alignment vertical="center"/>
    </xf>
    <xf numFmtId="0" fontId="4" fillId="0" borderId="0" xfId="2" applyFont="1">
      <alignment vertical="center"/>
    </xf>
    <xf numFmtId="0" fontId="4" fillId="0" borderId="0" xfId="3" applyFont="1" applyFill="1">
      <alignment vertical="center"/>
    </xf>
    <xf numFmtId="0" fontId="10" fillId="0" borderId="0" xfId="0" applyFont="1">
      <alignment vertical="center"/>
    </xf>
    <xf numFmtId="0" fontId="11" fillId="0" borderId="0" xfId="1" applyFont="1">
      <alignment vertical="center"/>
    </xf>
    <xf numFmtId="0" fontId="10" fillId="0" borderId="0" xfId="0" applyFont="1" applyAlignment="1">
      <alignment horizontal="center" vertical="center"/>
    </xf>
    <xf numFmtId="0" fontId="10" fillId="2" borderId="4" xfId="0" applyFont="1" applyFill="1" applyBorder="1" applyAlignment="1">
      <alignment horizontal="right" vertical="center"/>
    </xf>
    <xf numFmtId="0" fontId="10" fillId="2" borderId="5" xfId="0" applyFont="1" applyFill="1" applyBorder="1" applyAlignment="1">
      <alignment horizontal="left" vertical="center"/>
    </xf>
    <xf numFmtId="0" fontId="10" fillId="0" borderId="1" xfId="0" applyFont="1" applyBorder="1" applyAlignment="1">
      <alignment horizontal="center" vertical="center"/>
    </xf>
    <xf numFmtId="0" fontId="10" fillId="2" borderId="6" xfId="0" applyFont="1" applyFill="1" applyBorder="1" applyAlignment="1">
      <alignment horizontal="right" vertical="center"/>
    </xf>
    <xf numFmtId="0" fontId="10" fillId="2" borderId="7" xfId="0" applyFont="1" applyFill="1" applyBorder="1" applyAlignment="1">
      <alignment horizontal="left" vertical="center"/>
    </xf>
    <xf numFmtId="0" fontId="10" fillId="2" borderId="1" xfId="0" applyFont="1" applyFill="1" applyBorder="1" applyAlignment="1">
      <alignment horizontal="centerContinuous" vertical="center"/>
    </xf>
    <xf numFmtId="0" fontId="10" fillId="2" borderId="2"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xf>
    <xf numFmtId="0" fontId="10" fillId="0" borderId="1" xfId="0" applyFont="1" applyBorder="1" applyAlignment="1">
      <alignment horizontal="left" vertical="center"/>
    </xf>
    <xf numFmtId="0" fontId="10" fillId="0" borderId="1" xfId="0" applyFont="1" applyBorder="1">
      <alignment vertical="center"/>
    </xf>
    <xf numFmtId="176" fontId="0" fillId="0" borderId="0" xfId="0" applyNumberFormat="1">
      <alignment vertical="center"/>
    </xf>
    <xf numFmtId="179" fontId="0" fillId="0" borderId="0" xfId="0" applyNumberFormat="1">
      <alignment vertical="center"/>
    </xf>
    <xf numFmtId="177" fontId="13" fillId="0" borderId="0" xfId="0" applyNumberFormat="1" applyFont="1" applyAlignment="1">
      <alignment horizontal="right" vertical="center"/>
    </xf>
    <xf numFmtId="178" fontId="13" fillId="0" borderId="0" xfId="0" applyNumberFormat="1" applyFont="1" applyAlignment="1">
      <alignment horizontal="right" vertical="center"/>
    </xf>
    <xf numFmtId="178" fontId="4" fillId="0" borderId="0" xfId="0" applyNumberFormat="1" applyFont="1" applyAlignment="1">
      <alignment horizontal="right" vertical="center"/>
    </xf>
    <xf numFmtId="22" fontId="4" fillId="0" borderId="0" xfId="0" applyNumberFormat="1" applyFont="1" applyAlignment="1">
      <alignment horizontal="right" vertical="center"/>
    </xf>
    <xf numFmtId="22" fontId="13" fillId="0" borderId="0" xfId="0" applyNumberFormat="1" applyFont="1" applyAlignment="1">
      <alignment horizontal="right" vertical="center"/>
    </xf>
    <xf numFmtId="181" fontId="4" fillId="0" borderId="0" xfId="0" applyNumberFormat="1" applyFont="1" applyAlignment="1">
      <alignment horizontal="center" vertical="center"/>
    </xf>
    <xf numFmtId="182" fontId="4" fillId="0" borderId="0" xfId="0" applyNumberFormat="1" applyFont="1" applyAlignment="1">
      <alignment horizontal="center" vertical="center"/>
    </xf>
    <xf numFmtId="0" fontId="10" fillId="0" borderId="0" xfId="0" applyFont="1" applyAlignment="1">
      <alignment horizontal="left" vertical="center"/>
    </xf>
    <xf numFmtId="176" fontId="3" fillId="0" borderId="0" xfId="0" applyNumberFormat="1" applyFont="1">
      <alignment vertical="center"/>
    </xf>
    <xf numFmtId="0" fontId="3" fillId="0" borderId="0" xfId="0" applyFont="1" applyAlignment="1">
      <alignment horizontal="center" vertical="center"/>
    </xf>
    <xf numFmtId="176" fontId="3" fillId="0" borderId="0" xfId="0" applyNumberFormat="1" applyFont="1" applyAlignment="1">
      <alignment horizontal="center" vertical="center"/>
    </xf>
    <xf numFmtId="0" fontId="14" fillId="3" borderId="3" xfId="0" applyFont="1" applyFill="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lignment vertical="center"/>
    </xf>
    <xf numFmtId="0" fontId="10" fillId="0" borderId="14" xfId="0" applyFont="1" applyBorder="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15" xfId="0"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lignment vertical="center"/>
    </xf>
    <xf numFmtId="0" fontId="15" fillId="0" borderId="0" xfId="0" applyFont="1">
      <alignment vertical="center"/>
    </xf>
    <xf numFmtId="0" fontId="10" fillId="0" borderId="12" xfId="0" applyFont="1" applyBorder="1" applyAlignment="1">
      <alignment horizontal="left" vertical="center" wrapText="1"/>
    </xf>
    <xf numFmtId="0" fontId="10" fillId="0" borderId="15" xfId="0" applyFont="1" applyBorder="1" applyAlignment="1">
      <alignment horizontal="left" vertical="center" wrapText="1"/>
    </xf>
    <xf numFmtId="0" fontId="10" fillId="5" borderId="1"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2" xfId="0" applyFont="1" applyFill="1" applyBorder="1" applyAlignment="1">
      <alignment horizontal="left" vertical="center" wrapText="1"/>
    </xf>
    <xf numFmtId="0" fontId="10" fillId="5" borderId="1" xfId="0" applyFont="1" applyFill="1" applyBorder="1">
      <alignment vertical="center"/>
    </xf>
    <xf numFmtId="0" fontId="10" fillId="5" borderId="13" xfId="0" applyFont="1" applyFill="1" applyBorder="1">
      <alignment vertical="center"/>
    </xf>
    <xf numFmtId="0" fontId="14" fillId="6" borderId="14" xfId="0" applyFont="1" applyFill="1" applyBorder="1" applyAlignment="1">
      <alignment horizontal="center" vertical="center"/>
    </xf>
    <xf numFmtId="0" fontId="14" fillId="6" borderId="3" xfId="0" applyFont="1" applyFill="1" applyBorder="1" applyAlignment="1">
      <alignment horizontal="center" vertical="center"/>
    </xf>
    <xf numFmtId="0" fontId="14" fillId="6" borderId="6" xfId="0" applyFont="1" applyFill="1" applyBorder="1" applyAlignment="1">
      <alignment horizontal="center" vertical="center"/>
    </xf>
    <xf numFmtId="0" fontId="10" fillId="5" borderId="15" xfId="0" applyFont="1" applyFill="1" applyBorder="1" applyAlignment="1">
      <alignment horizontal="center" vertical="center"/>
    </xf>
    <xf numFmtId="0" fontId="10" fillId="5" borderId="15" xfId="0" applyFont="1" applyFill="1" applyBorder="1" applyAlignment="1">
      <alignment horizontal="left" vertical="center" wrapText="1"/>
    </xf>
    <xf numFmtId="0" fontId="10" fillId="5" borderId="2" xfId="0" applyFont="1" applyFill="1" applyBorder="1" applyAlignment="1">
      <alignment horizontal="center" vertical="center"/>
    </xf>
    <xf numFmtId="0" fontId="10" fillId="5" borderId="2" xfId="0" applyFont="1" applyFill="1" applyBorder="1">
      <alignment vertical="center"/>
    </xf>
    <xf numFmtId="0" fontId="10" fillId="5" borderId="4" xfId="0" applyFont="1" applyFill="1" applyBorder="1">
      <alignment vertical="center"/>
    </xf>
    <xf numFmtId="0" fontId="12" fillId="0" borderId="0" xfId="0" applyFont="1">
      <alignment vertical="center"/>
    </xf>
    <xf numFmtId="180" fontId="10" fillId="0" borderId="0" xfId="0" applyNumberFormat="1" applyFont="1">
      <alignment vertical="center"/>
    </xf>
    <xf numFmtId="180" fontId="10" fillId="0" borderId="0" xfId="0" applyNumberFormat="1" applyFont="1" applyAlignment="1">
      <alignment horizontal="center" vertical="center"/>
    </xf>
    <xf numFmtId="182" fontId="10" fillId="4" borderId="8" xfId="0" applyNumberFormat="1" applyFont="1" applyFill="1" applyBorder="1" applyAlignment="1">
      <alignment horizontal="center" vertical="center"/>
    </xf>
    <xf numFmtId="0" fontId="10" fillId="4" borderId="9" xfId="0" applyFont="1" applyFill="1" applyBorder="1" applyAlignment="1">
      <alignment horizontal="center" vertical="center"/>
    </xf>
    <xf numFmtId="182" fontId="10" fillId="0" borderId="8" xfId="0" applyNumberFormat="1" applyFont="1" applyBorder="1" applyAlignment="1">
      <alignment horizontal="center" vertical="center"/>
    </xf>
    <xf numFmtId="0" fontId="10" fillId="0" borderId="9" xfId="0" applyFont="1" applyBorder="1" applyAlignment="1">
      <alignment horizontal="center" vertical="center"/>
    </xf>
    <xf numFmtId="182" fontId="10" fillId="4" borderId="10"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4" borderId="9" xfId="0" applyFont="1" applyFill="1" applyBorder="1" applyAlignment="1">
      <alignment horizontal="left" vertical="center" wrapText="1"/>
    </xf>
    <xf numFmtId="0" fontId="10" fillId="0" borderId="9" xfId="0" applyFont="1" applyBorder="1" applyAlignment="1">
      <alignment horizontal="left" vertical="center" wrapText="1"/>
    </xf>
    <xf numFmtId="0" fontId="10" fillId="4" borderId="9" xfId="0" applyFont="1" applyFill="1" applyBorder="1" applyAlignment="1">
      <alignment horizontal="left" vertical="center"/>
    </xf>
    <xf numFmtId="0" fontId="10" fillId="0" borderId="9" xfId="0" applyFont="1" applyBorder="1" applyAlignment="1">
      <alignment horizontal="left" vertical="center"/>
    </xf>
    <xf numFmtId="0" fontId="10" fillId="4" borderId="11" xfId="0" applyFont="1" applyFill="1" applyBorder="1" applyAlignment="1">
      <alignment horizontal="left" vertical="center"/>
    </xf>
    <xf numFmtId="176" fontId="10" fillId="0" borderId="0" xfId="0" quotePrefix="1" applyNumberFormat="1"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16" fillId="0" borderId="0" xfId="0" applyFont="1" applyAlignment="1">
      <alignment horizontal="center" vertical="center" wrapText="1"/>
    </xf>
  </cellXfs>
  <cellStyles count="6">
    <cellStyle name="Hyperlink" xfId="4" xr:uid="{ADFCC6C5-3638-43D0-93B5-5AA27876D3F3}"/>
    <cellStyle name="ハイパーリンク" xfId="1" builtinId="8"/>
    <cellStyle name="ハイパーリンク 2" xfId="3" xr:uid="{9F45F4A9-0AE0-4BA8-9155-05995CDF2B04}"/>
    <cellStyle name="標準" xfId="0" builtinId="0"/>
    <cellStyle name="標準 2" xfId="2" xr:uid="{8E59A4C4-7A84-43A8-B2C2-B9103D59D527}"/>
    <cellStyle name="標準 3" xfId="5" xr:uid="{7545D030-EB85-4108-B2FE-9D1F8EB121DF}"/>
  </cellStyles>
  <dxfs count="142">
    <dxf>
      <font>
        <strike val="0"/>
        <outline val="0"/>
        <shadow val="0"/>
        <u val="none"/>
        <vertAlign val="baseline"/>
        <sz val="10"/>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alignment horizontal="center" vertical="center" textRotation="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Meiryo UI"/>
        <family val="3"/>
        <charset val="128"/>
        <scheme val="none"/>
      </font>
      <numFmt numFmtId="182" formatCode="00000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thin">
          <color theme="4" tint="0.39997558519241921"/>
        </top>
      </border>
    </dxf>
    <dxf>
      <border outline="0">
        <top style="thin">
          <color indexed="64"/>
        </top>
        <bottom style="thin">
          <color theme="4" tint="0.39997558519241921"/>
        </bottom>
      </border>
    </dxf>
    <dxf>
      <font>
        <strike val="0"/>
        <outline val="0"/>
        <shadow val="0"/>
        <u val="none"/>
        <vertAlign val="baseline"/>
        <sz val="10"/>
        <name val="Meiryo UI"/>
        <family val="3"/>
        <charset val="128"/>
        <scheme val="none"/>
      </font>
    </dxf>
    <dxf>
      <border outline="0">
        <bottom style="thin">
          <color indexed="64"/>
        </bottom>
      </border>
    </dxf>
    <dxf>
      <font>
        <b/>
        <i val="0"/>
        <strike val="0"/>
        <condense val="0"/>
        <extend val="0"/>
        <outline val="0"/>
        <shadow val="0"/>
        <u val="none"/>
        <vertAlign val="baseline"/>
        <sz val="10"/>
        <color theme="0"/>
        <name val="Meiryo UI"/>
        <family val="3"/>
        <charset val="128"/>
        <scheme val="none"/>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Meiryo UI"/>
        <family val="3"/>
        <charset val="128"/>
        <scheme val="none"/>
      </font>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numFmt numFmtId="180" formatCode="0000000"/>
      <alignment horizontal="center" vertical="center" textRotation="0" wrapText="0" indent="0" justifyLastLine="0" shrinkToFit="0" readingOrder="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alignment horizontal="center" vertical="center" textRotation="0" wrapText="0" indent="0" justifyLastLine="0" shrinkToFit="0" readingOrder="0"/>
    </dxf>
    <dxf>
      <font>
        <strike val="0"/>
        <outline val="0"/>
        <shadow val="0"/>
        <u val="none"/>
        <vertAlign val="baseline"/>
        <sz val="10"/>
        <name val="Meiryo UI"/>
        <family val="3"/>
        <charset val="128"/>
        <scheme val="none"/>
      </font>
      <numFmt numFmtId="180" formatCode="0000000"/>
    </dxf>
    <dxf>
      <font>
        <strike val="0"/>
        <outline val="0"/>
        <shadow val="0"/>
        <u val="none"/>
        <vertAlign val="baseline"/>
        <sz val="10"/>
        <name val="Meiryo UI"/>
        <family val="3"/>
        <charset val="128"/>
        <scheme val="none"/>
      </font>
    </dxf>
    <dxf>
      <font>
        <strike val="0"/>
        <outline val="0"/>
        <shadow val="0"/>
        <u val="none"/>
        <vertAlign val="baseline"/>
        <sz val="10"/>
        <name val="Meiryo UI"/>
        <family val="3"/>
        <charset val="128"/>
        <scheme val="none"/>
      </font>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9" formatCode="00000"/>
    </dxf>
    <dxf>
      <font>
        <strike val="0"/>
        <outline val="0"/>
        <shadow val="0"/>
        <u val="none"/>
        <vertAlign val="baseline"/>
        <sz val="10"/>
        <color theme="1"/>
        <name val="Segoe UI"/>
        <family val="2"/>
        <scheme val="none"/>
      </font>
      <numFmt numFmtId="176" formatCode="000"/>
      <alignment horizontal="center" vertical="center" textRotation="0" wrapText="0" indent="0" justifyLastLine="0" shrinkToFit="0" readingOrder="0"/>
    </dxf>
    <dxf>
      <font>
        <strike val="0"/>
        <outline val="0"/>
        <shadow val="0"/>
        <u val="none"/>
        <vertAlign val="baseline"/>
        <sz val="10"/>
        <color theme="1"/>
        <name val="Segoe UI"/>
        <family val="2"/>
        <scheme val="none"/>
      </font>
      <alignment horizontal="center" vertical="center" textRotation="0" wrapText="0" indent="0" justifyLastLine="0" shrinkToFit="0" readingOrder="0"/>
    </dxf>
    <dxf>
      <font>
        <strike val="0"/>
        <outline val="0"/>
        <shadow val="0"/>
        <u val="none"/>
        <vertAlign val="baseline"/>
        <sz val="10"/>
        <color theme="1"/>
        <name val="Segoe UI"/>
        <family val="2"/>
        <scheme val="none"/>
      </font>
      <alignment horizontal="center" vertical="center" textRotation="0" wrapText="0" indent="0" justifyLastLine="0" shrinkToFit="0" readingOrder="0"/>
    </dxf>
    <dxf>
      <font>
        <strike val="0"/>
        <outline val="0"/>
        <shadow val="0"/>
        <u val="none"/>
        <vertAlign val="baseline"/>
        <sz val="10"/>
        <color theme="1"/>
        <name val="Segoe UI"/>
        <family val="2"/>
        <scheme val="none"/>
      </font>
      <numFmt numFmtId="176" formatCode="000"/>
    </dxf>
    <dxf>
      <font>
        <strike val="0"/>
        <outline val="0"/>
        <shadow val="0"/>
        <u val="none"/>
        <vertAlign val="baseline"/>
        <sz val="10"/>
        <color theme="1"/>
        <name val="Segoe UI"/>
        <family val="2"/>
        <scheme val="none"/>
      </font>
    </dxf>
    <dxf>
      <font>
        <b val="0"/>
        <i val="0"/>
        <strike val="0"/>
        <condense val="0"/>
        <extend val="0"/>
        <outline val="0"/>
        <shadow val="0"/>
        <u val="none"/>
        <vertAlign val="baseline"/>
        <sz val="9"/>
        <color theme="1"/>
        <name val="Meiryo UI"/>
        <family val="3"/>
        <charset val="128"/>
        <scheme val="none"/>
      </font>
      <numFmt numFmtId="27" formatCode="yyyy/m/d\ h:mm"/>
      <alignment horizontal="right" vertical="center" textRotation="0" wrapText="0" indent="0" justifyLastLine="0" shrinkToFit="0" readingOrder="0"/>
    </dxf>
    <dxf>
      <font>
        <b val="0"/>
        <i val="0"/>
        <strike val="0"/>
        <condense val="0"/>
        <extend val="0"/>
        <outline val="0"/>
        <shadow val="0"/>
        <u val="none"/>
        <vertAlign val="baseline"/>
        <sz val="9"/>
        <color theme="1"/>
        <name val="Meiryo UI"/>
        <family val="3"/>
        <charset val="128"/>
        <scheme val="none"/>
      </font>
      <numFmt numFmtId="181" formatCode="yyyy/m/d\ h: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Meiryo UI"/>
        <family val="3"/>
        <charset val="128"/>
        <scheme val="none"/>
      </font>
      <fill>
        <patternFill patternType="none">
          <fgColor indexed="64"/>
          <bgColor indexed="65"/>
        </patternFill>
      </fill>
    </dxf>
    <dxf>
      <font>
        <b val="0"/>
        <i val="0"/>
        <strike val="0"/>
        <condense val="0"/>
        <extend val="0"/>
        <outline val="0"/>
        <shadow val="0"/>
        <u val="none"/>
        <vertAlign val="baseline"/>
        <sz val="9"/>
        <color theme="1"/>
        <name val="Meiryo UI"/>
        <family val="3"/>
        <charset val="128"/>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Meiryo UI"/>
        <family val="3"/>
        <charset val="128"/>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Meiryo UI"/>
        <family val="3"/>
        <charset val="128"/>
        <scheme val="none"/>
      </font>
      <numFmt numFmtId="182" formatCode="00000000"/>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0"/>
        <name val="Meiryo UI"/>
        <family val="3"/>
        <charset val="128"/>
        <scheme val="none"/>
      </font>
      <fill>
        <patternFill patternType="solid">
          <fgColor theme="7"/>
          <bgColor theme="7"/>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0"/>
        <name val="Meiryo UI"/>
        <family val="3"/>
        <charset val="128"/>
        <scheme val="none"/>
      </font>
      <fill>
        <patternFill patternType="solid">
          <fgColor theme="7"/>
          <bgColor theme="7"/>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0"/>
        <name val="Meiryo UI"/>
        <family val="3"/>
        <charset val="128"/>
        <scheme val="none"/>
      </font>
      <fill>
        <patternFill patternType="solid">
          <fgColor theme="7"/>
          <bgColor theme="7"/>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val="0"/>
        <i val="0"/>
        <strike val="0"/>
        <condense val="0"/>
        <extend val="0"/>
        <outline val="0"/>
        <shadow val="0"/>
        <u val="none"/>
        <vertAlign val="baseline"/>
        <sz val="10"/>
        <color theme="1"/>
        <name val="Meiryo UI"/>
        <family val="3"/>
        <charset val="128"/>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29EFF70C-F4CF-483A-90C1-64FF92C7655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3/09/relationships/Python" Target="pyth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Place\1_Main\1_Mobility\1_Elk_&#20181;&#21521;&#12539;&#12459;&#12521;&#12496;&#12522;&#12539;&#12458;&#12503;&#12471;&#12519;&#12531;&#36861;&#21152;\&#35201;&#27714;&#20181;&#27096;&#12398;&#12486;&#12531;&#12503;&#12524;\&#35373;&#35336;&#35215;&#26684;&#23550;&#24540;&#34920;.xlsx" TargetMode="External"/><Relationship Id="rId1" Type="http://schemas.openxmlformats.org/officeDocument/2006/relationships/externalLinkPath" Target="https://epsongroup.sharepoint.com/WorkPlace/1_Main/1_Mobility/1_Elk_&#20181;&#21521;&#12539;&#12459;&#12521;&#12496;&#12522;&#12539;&#12458;&#12503;&#12471;&#12519;&#12531;&#36861;&#21152;/&#35201;&#27714;&#20181;&#27096;&#12398;&#12486;&#12531;&#12503;&#12524;/&#35373;&#35336;&#35215;&#26684;&#23550;&#24540;&#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S"/>
      <sheetName val="設計規格の分類"/>
      <sheetName val="分類"/>
      <sheetName val="EQS (2)"/>
      <sheetName val="設計規格対応表"/>
    </sheetNames>
    <sheetDataSet>
      <sheetData sheetId="0"/>
      <sheetData sheetId="1"/>
      <sheetData sheetId="2"/>
      <sheetData sheetId="3"/>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0B01F9-8A29-4256-8FEC-E4D9EDB2DF2A}" name="sql_type" displayName="sql_type" ref="B11:G35" totalsRowShown="0" headerRowDxfId="141" dataDxfId="139" headerRowBorderDxfId="140" tableBorderDxfId="138" totalsRowBorderDxfId="137">
  <autoFilter ref="B11:G35" xr:uid="{9D0B01F9-8A29-4256-8FEC-E4D9EDB2DF2A}"/>
  <tableColumns count="6">
    <tableColumn id="1" xr3:uid="{0D1EAA6D-E5C1-4F17-885D-C17FDDB03CE6}" name="Type" dataDxfId="136"/>
    <tableColumn id="6" xr3:uid="{75DCF6A8-32BC-450B-90A0-4A3EABE52B38}" name="Desc" dataDxfId="135"/>
    <tableColumn id="5" xr3:uid="{0FF5CAD8-93C9-43A0-A501-94C5C1CF14A3}" name="Note" dataDxfId="134"/>
    <tableColumn id="2" xr3:uid="{9486B3F3-3EAC-411D-9593-FFFAE7863310}" name="SQLite" dataDxfId="133"/>
    <tableColumn id="3" xr3:uid="{7AD96CEB-48EF-470A-BD73-A88A947C2A52}" name="SQL Server" dataDxfId="132"/>
    <tableColumn id="4" xr3:uid="{3D9C82E8-98E0-4058-9EBE-F6B2A11E44D4}" name="MongoDB" dataDxfId="131"/>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E1C54A-16A5-4B01-8FA6-FC742CD6C72A}" name="sql_notnull" displayName="sql_notnull" ref="B38:G41" totalsRowShown="0" headerRowDxfId="130" headerRowBorderDxfId="129" tableBorderDxfId="128" totalsRowBorderDxfId="127">
  <autoFilter ref="B38:G41" xr:uid="{2BE1C54A-16A5-4B01-8FA6-FC742CD6C72A}"/>
  <tableColumns count="6">
    <tableColumn id="1" xr3:uid="{055FCB62-EEB2-4CB9-9CE5-74D96A6E85CE}" name="NOT NULL"/>
    <tableColumn id="2" xr3:uid="{18B62D77-9F3E-4AD2-9B6B-81B38FCE08D3}" name="Desc"/>
    <tableColumn id="3" xr3:uid="{A2ADEC26-B826-419A-931F-3EA71BA7EDBE}" name="Note"/>
    <tableColumn id="4" xr3:uid="{1A1E2A46-D0E6-486C-A69F-C94462088DD5}" name="SQLite"/>
    <tableColumn id="5" xr3:uid="{B4607F96-0243-4A46-9042-ED6C03B33019}" name="SQL Server"/>
    <tableColumn id="6" xr3:uid="{271ADDAA-D379-49BD-8571-28A93D972EAD}" name="MongoDB"/>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8857D90-9722-4AEA-B61B-48A55A1048C9}" name="sql_pk" displayName="sql_pk" ref="B44:G47" totalsRowShown="0" headerRowDxfId="126" headerRowBorderDxfId="125" tableBorderDxfId="124" totalsRowBorderDxfId="123">
  <autoFilter ref="B44:G47" xr:uid="{A8857D90-9722-4AEA-B61B-48A55A1048C9}"/>
  <tableColumns count="6">
    <tableColumn id="1" xr3:uid="{0AAF43E4-6772-40AB-ADE5-6156FE8B2F6F}" name="PK"/>
    <tableColumn id="2" xr3:uid="{CC01F366-FC28-4314-8C04-B945DA1A70B7}" name="Desc"/>
    <tableColumn id="3" xr3:uid="{EF0556D8-3F2D-4BE6-B77C-B0EBAA26104E}" name="Note"/>
    <tableColumn id="4" xr3:uid="{7DB29BEB-4B04-4512-8F29-6B300DEB3F1E}" name="SQLite"/>
    <tableColumn id="5" xr3:uid="{08F83C48-7885-4978-B937-1B5BD4B4E498}" name="SQL Server"/>
    <tableColumn id="6" xr3:uid="{24973DE4-B0FF-49EF-A900-4DF5DA9109CE}" name="MongoDB"/>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967CB4-5910-4061-A647-578D78DC7742}" name="sql_fk" displayName="sql_fk" ref="B50:G53" totalsRowShown="0" headerRowDxfId="122" headerRowBorderDxfId="121" tableBorderDxfId="120" totalsRowBorderDxfId="119">
  <autoFilter ref="B50:G53" xr:uid="{D4967CB4-5910-4061-A647-578D78DC7742}"/>
  <tableColumns count="6">
    <tableColumn id="1" xr3:uid="{2AC2BA67-FE76-4CBC-9119-1F5079100D41}" name="FK"/>
    <tableColumn id="2" xr3:uid="{9B953D8C-29AB-4B38-91CE-5460AFB8ED6D}" name="Desc"/>
    <tableColumn id="3" xr3:uid="{DB5BF29B-7093-47CA-A5D9-329BDE46FC27}" name="Note"/>
    <tableColumn id="4" xr3:uid="{D9AE6D20-C3FB-42AC-8C68-7240E6DC2AA6}" name="SQLite"/>
    <tableColumn id="5" xr3:uid="{F2593B37-2785-41B6-B977-312C7F36B658}" name="SQL Server"/>
    <tableColumn id="6" xr3:uid="{69502DF2-5B42-497A-B5DF-89BD3D7E5EE7}" name="MongoDB"/>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070FA3-28BE-4F4A-9ED7-9B4EE2F6C552}" name="SQL" displayName="SQL" ref="B5:F8" totalsRowShown="0" headerRowDxfId="118" dataDxfId="117">
  <autoFilter ref="B5:F8" xr:uid="{9B070FA3-28BE-4F4A-9ED7-9B4EE2F6C552}"/>
  <tableColumns count="5">
    <tableColumn id="1" xr3:uid="{D28720CA-BFC1-482F-88AE-BB59389330E0}" name="SQL Type" dataDxfId="116"/>
    <tableColumn id="2" xr3:uid="{3C910A00-E193-426F-95FC-1FE03BE41218}" name="offset" dataDxfId="115"/>
    <tableColumn id="3" xr3:uid="{C78191F4-AD20-4C55-9A4B-DD844F900121}" name="列12" dataDxfId="114"/>
    <tableColumn id="4" xr3:uid="{EEE1159D-6F95-4244-B56E-3AB0D8811ECC}" name="テーブル" dataDxfId="113"/>
    <tableColumn id="5" xr3:uid="{FE6E314B-2A17-413D-A3D0-EB77F450D388}" name="列14" dataDxfId="1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8F41F-0DC5-433F-A027-F653D2E4EB4A}" name="tbl_rules" displayName="tbl_rules" ref="A1:H1416" totalsRowShown="0" headerRowDxfId="111" headerRowBorderDxfId="110">
  <autoFilter ref="A1:H1416" xr:uid="{53A8F41F-0DC5-433F-A027-F653D2E4EB4A}"/>
  <tableColumns count="8">
    <tableColumn id="1" xr3:uid="{B936F2C2-34F0-4656-A904-EDCEC5682AFF}" name="key_rule" dataDxfId="109"/>
    <tableColumn id="2" xr3:uid="{53CE52A4-C20B-4DF7-AF32-CD227DE37FC5}" name="id_rule" dataDxfId="108"/>
    <tableColumn id="3" xr3:uid="{614F2AE8-0203-4906-8A94-ED58884D38E0}" name="name_rule" dataDxfId="107"/>
    <tableColumn id="4" xr3:uid="{072819BB-0865-4E8D-942C-6634068140EE}" name="key_cat_sub" dataDxfId="106"/>
    <tableColumn id="5" xr3:uid="{6F8AE653-8A63-4F0D-BE7B-02CA38E791BB}" name="link" dataDxfId="105"/>
    <tableColumn id="6" xr3:uid="{CE6CF9E3-C8E2-486F-979F-972416477715}" name="key_cat_state" dataDxfId="104"/>
    <tableColumn id="7" xr3:uid="{8495790E-190A-43A8-9F80-23E33CE67EB9}" name="created_date" dataDxfId="103"/>
    <tableColumn id="8" xr3:uid="{D4AAC736-F09F-44F3-A977-8246EB2308B1}" name="update_date" dataDxfId="10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23F452-CA97-4CF4-90AA-728008039440}" name="tbl_cat_type" displayName="tbl_cat_type" ref="A1:D7" totalsRowShown="0" dataDxfId="101">
  <autoFilter ref="A1:D7" xr:uid="{AB23F452-CA97-4CF4-90AA-728008039440}"/>
  <tableColumns count="4">
    <tableColumn id="1" xr3:uid="{39370D6E-0959-4D9F-9E61-B490CC7217C5}" name="key_cat_type" dataDxfId="100"/>
    <tableColumn id="2" xr3:uid="{2EA35AEE-815C-470C-96C9-9C42A2E1EDD6}" name="title_jp" dataDxfId="99"/>
    <tableColumn id="3" xr3:uid="{9C4A3611-CBE4-4373-8611-3A5B674A7B7B}" name="title_en" dataDxfId="98"/>
    <tableColumn id="4" xr3:uid="{B59A1928-77B9-44CF-960A-B2A4666A806C}" name="path" dataDxfId="9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6DA086-3DED-485E-BDF9-854D0B6C0406}" name="tbl_cat_major" displayName="tbl_cat_major" ref="A1:E40" totalsRowShown="0">
  <autoFilter ref="A1:E40" xr:uid="{C26DA086-3DED-485E-BDF9-854D0B6C0406}"/>
  <tableColumns count="5">
    <tableColumn id="1" xr3:uid="{F33107A7-2495-4FAC-AA59-482545A5475A}" name="key_cat_major" dataDxfId="96"/>
    <tableColumn id="2" xr3:uid="{97CB1209-4D94-4147-AE89-F2E26322C899}" name="title_jp" dataDxfId="95"/>
    <tableColumn id="3" xr3:uid="{126E8D3E-A643-4C5D-A997-F1E3D8B17D50}" name="title_en" dataDxfId="94"/>
    <tableColumn id="4" xr3:uid="{5E258B7B-C305-4FBE-8335-6A12D908926B}" name="key_cat_type"/>
    <tableColumn id="5" xr3:uid="{5D8BDE5F-2147-4972-BB2B-EF27036876E3}" name="path" dataDxfId="9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CBCFE0-A32A-4EEA-BC95-21C1BF324770}" name="tbl_cat_sub" displayName="tbl_cat_sub" ref="A1:E105" totalsRowShown="0" headerRowDxfId="92" dataDxfId="91">
  <autoFilter ref="A1:E105" xr:uid="{30CBCFE0-A32A-4EEA-BC95-21C1BF324770}"/>
  <tableColumns count="5">
    <tableColumn id="1" xr3:uid="{2A835B80-8D4E-4DA9-ADDB-415496203278}" name="key_cat_sub" dataDxfId="90"/>
    <tableColumn id="2" xr3:uid="{7EF7D546-4C83-46B5-B4C3-FB9A74801469}" name="title_jp" dataDxfId="89"/>
    <tableColumn id="3" xr3:uid="{A0E84C04-9881-4BF3-B00C-B89F5CF514D7}" name="title_en" dataDxfId="88"/>
    <tableColumn id="4" xr3:uid="{ABB32B96-CCA0-446D-A578-DEC6C3928611}" name="key_cat_major" dataDxfId="87"/>
    <tableColumn id="5" xr3:uid="{85BC9BF0-6AEF-4601-AA6D-EDF337E48904}" name="path"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F50312-F888-460B-BF66-DF42F6BBF4D4}" name="tbl_cat_state" displayName="tbl_cat_state" ref="A1:C4" totalsRowShown="0" headerRowDxfId="85" dataDxfId="84">
  <autoFilter ref="A1:C4" xr:uid="{89F50312-F888-460B-BF66-DF42F6BBF4D4}"/>
  <tableColumns count="3">
    <tableColumn id="1" xr3:uid="{A510D113-31BE-4263-9F43-7F0F74577C3F}" name="key_cat_state" dataDxfId="83"/>
    <tableColumn id="2" xr3:uid="{521F5A9E-1C63-4356-B402-26ADC86CDD54}" name="title_jp" dataDxfId="82"/>
    <tableColumn id="3" xr3:uid="{F87BF9CC-CCED-4888-9D25-E1F29638DA45}" name="title_en" dataDxfId="8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183686-68A4-474C-999C-06D5C2011B88}" name="tbl_request" displayName="tbl_request" ref="A1:W16" totalsRowShown="0" headerRowDxfId="80" dataDxfId="78" headerRowBorderDxfId="79" tableBorderDxfId="77" totalsRowBorderDxfId="76">
  <autoFilter ref="A1:W16" xr:uid="{2C183686-68A4-474C-999C-06D5C2011B88}"/>
  <tableColumns count="23">
    <tableColumn id="1" xr3:uid="{1653E89A-58F0-4F46-BF51-CF44EC264CDF}" name="key_req" dataDxfId="75"/>
    <tableColumn id="2" xr3:uid="{8F3120F6-8F89-435E-967D-28A2053AD880}" name="key_rule" dataDxfId="74"/>
    <tableColumn id="3" xr3:uid="{7269BF8E-3909-4459-9704-95D0D03EE219}" name="id_cap" dataDxfId="73"/>
    <tableColumn id="4" xr3:uid="{C1DA858D-7868-4934-AD37-FBE93EB2BDA0}" name="title_capter" dataDxfId="72"/>
    <tableColumn id="16" xr3:uid="{A4456ECD-A516-4BD8-A481-6CAF41DB0EB9}" name="title_section" dataDxfId="71"/>
    <tableColumn id="10" xr3:uid="{59B7A72D-B21E-4244-B2AE-304A0CABA75C}" name="top_body" dataDxfId="70"/>
    <tableColumn id="19" xr3:uid="{F513C88F-AFAE-4902-AFFF-1A9518CD8721}" name="low_body" dataDxfId="69"/>
    <tableColumn id="20" xr3:uid="{F9FEEEFC-7E90-49EC-B106-00D874187273}" name="top_tbl" dataDxfId="68"/>
    <tableColumn id="11" xr3:uid="{6BB1F614-6075-44F3-8947-5FA6821E4D5F}" name="top_fig" dataDxfId="67"/>
    <tableColumn id="21" xr3:uid="{8292C9A5-7350-490B-9AAE-E88CFB051911}" name="low_tbl" dataDxfId="66"/>
    <tableColumn id="22" xr3:uid="{41F05D62-61D5-4AE5-A021-601DB8C5E248}" name="low_fig" dataDxfId="65"/>
    <tableColumn id="34" xr3:uid="{7AC7BC7F-BA13-4E34-B880-7047C1F3967E}" name="lead_time" dataDxfId="64"/>
    <tableColumn id="13" xr3:uid="{01BB012C-0761-4BD4-8EB7-523CC697B4BA}" name="reference" dataDxfId="63"/>
    <tableColumn id="27" xr3:uid="{F9E5AFBF-ECAD-434D-A8D0-CFCFC5B4D315}" name="created_date" dataDxfId="62"/>
    <tableColumn id="28" xr3:uid="{05EC5C9E-6EDE-4F4C-864B-FE39E06F9C2B}" name="update_date" dataDxfId="61"/>
    <tableColumn id="26" xr3:uid="{CC8184F8-6C7D-4031-A23E-BD28DEFABAA4}" name="key_cat_request" dataDxfId="60"/>
    <tableColumn id="23" xr3:uid="{BF6DC6EF-4843-4614-9170-EF211D0C55C6}" name="key_cat_phase" dataDxfId="59"/>
    <tableColumn id="29" xr3:uid="{D3E8113F-A334-4BAD-9CC4-F4A4F107565E}" name="scope_product_genre" dataDxfId="58"/>
    <tableColumn id="30" xr3:uid="{D1564E44-8BD8-4A9D-9060-45EC8A513FFE}" name="scope_service_genre" dataDxfId="57"/>
    <tableColumn id="31" xr3:uid="{205E23BE-2B6B-4C85-BF0D-817596801E0E}" name="scope_equipment" dataDxfId="56"/>
    <tableColumn id="24" xr3:uid="{7E755D5E-5A85-4F3F-A2DD-87AADCE2A257}" name="scope_pii" dataDxfId="55"/>
    <tableColumn id="25" xr3:uid="{E987E0C0-93F2-4AC7-8F48-B0DAB62C9367}" name="scope_design_domain" dataDxfId="54"/>
    <tableColumn id="6" xr3:uid="{4EF6C4E8-1CAA-49C6-8BF6-6E95A9E3BD12}" name="unique_search" dataDxfId="5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9693942-D421-4635-B355-754112FA064F}" name="tbl_cat_request" displayName="tbl_cat_request" ref="A1:E14" totalsRowShown="0" headerRowDxfId="52" dataDxfId="50" headerRowBorderDxfId="51">
  <autoFilter ref="A1:E14" xr:uid="{F9693942-D421-4635-B355-754112FA064F}"/>
  <tableColumns count="5">
    <tableColumn id="1" xr3:uid="{4C2560EA-3ED5-4404-892D-47C3F1ADF329}" name="key_cat_request" dataDxfId="49"/>
    <tableColumn id="2" xr3:uid="{A227D262-B9F0-445B-9D75-DC516998661C}" name="title_jp" dataDxfId="48"/>
    <tableColumn id="4" xr3:uid="{3D7E0317-1775-43D9-B77E-AE61120B1244}" name="title_en" dataDxfId="47"/>
    <tableColumn id="5" xr3:uid="{66806F49-23B3-4110-ADF6-3B2BF7D4FFC5}" name="key_cat_req_type" dataDxfId="46"/>
    <tableColumn id="3" xr3:uid="{C71E46D8-C453-4085-B69C-16E804AB41CF}" name="req_type" dataDxfId="4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9EEE63D-E48E-4F38-9CD9-D9219D8ECFC0}" name="tbl_cat_phase" displayName="tbl_cat_phase" ref="A1:C9" totalsRowShown="0" headerRowDxfId="44" dataDxfId="42" headerRowBorderDxfId="43">
  <autoFilter ref="A1:C9" xr:uid="{C9EEE63D-E48E-4F38-9CD9-D9219D8ECFC0}"/>
  <tableColumns count="3">
    <tableColumn id="1" xr3:uid="{E01B348C-F9E0-4A6E-ACC0-0934A541B2F8}" name="key_cat_phase" dataDxfId="41"/>
    <tableColumn id="2" xr3:uid="{83854B44-4684-4CA5-AD01-067A3B60C4EF}" name="title_jp" dataDxfId="40"/>
    <tableColumn id="3" xr3:uid="{8DD98BDB-1066-49D8-A6CA-519E327B0807}" name="title_en" dataDxfId="3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0275C7A-8BCF-4DD5-8787-A437AEC7F3F4}" name="tbl_scp_sales_region" displayName="tbl_scp_sales_region" ref="A1:E31" totalsRowShown="0" headerRowDxfId="38" dataDxfId="36" headerRowBorderDxfId="37">
  <autoFilter ref="A1:E31" xr:uid="{B0275C7A-8BCF-4DD5-8787-A437AEC7F3F4}"/>
  <tableColumns count="5">
    <tableColumn id="1" xr3:uid="{E81320F0-D67A-4648-88C5-DDB91C34AB64}" name="key_scp_sales_region" dataDxfId="35"/>
    <tableColumn id="2" xr3:uid="{EF01E5FD-37BC-4829-B4ED-177E024CCE84}" name="title_jp" dataDxfId="34"/>
    <tableColumn id="5" xr3:uid="{C4B4AC7F-45FC-468E-B978-09055CE29FD1}" name="title_en" dataDxfId="33"/>
    <tableColumn id="4" xr3:uid="{36F26569-EA33-44F6-A214-AF34CB1AD8F7}" name="country_code_2" dataDxfId="32"/>
    <tableColumn id="3" xr3:uid="{0F5A6831-683B-4A34-B91D-31E630C08DF3}" name="country_code_3" dataDxfId="3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12221BF-E001-4908-BAC5-28CB2D0D99A7}" name="tbl_scp_product_genre" displayName="tbl_scp_product_genre" ref="A1:D12" totalsRowShown="0" headerRowDxfId="30" dataDxfId="28" headerRowBorderDxfId="29">
  <autoFilter ref="A1:D12" xr:uid="{412221BF-E001-4908-BAC5-28CB2D0D99A7}"/>
  <tableColumns count="4">
    <tableColumn id="1" xr3:uid="{26C9746C-89EF-459E-A402-E7A2208ACDB1}" name="key_scp_product_genre" dataDxfId="27"/>
    <tableColumn id="2" xr3:uid="{AF79F886-4A7E-40AC-9FA5-BA9311E4BD0D}" name="title_jp" dataDxfId="26"/>
    <tableColumn id="4" xr3:uid="{758A35E8-1DB5-47A5-868D-08E63A625F64}" name="title_en" dataDxfId="25"/>
    <tableColumn id="3" xr3:uid="{BC6E3EA1-EECE-456F-8B49-F99059C8FBB1}" name="hs_code" dataDxfId="2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C531C8-256A-4F30-BFA7-E756DE705AB8}" name="tbl_scp_service_genre" displayName="tbl_scp_service_genre" ref="A1:C10" totalsRowShown="0" headerRowDxfId="23" dataDxfId="21" headerRowBorderDxfId="22">
  <autoFilter ref="A1:C10" xr:uid="{0AC531C8-256A-4F30-BFA7-E756DE705AB8}"/>
  <tableColumns count="3">
    <tableColumn id="1" xr3:uid="{7BED3560-7FCF-426B-9724-05F38937BCA2}" name="key_scp_service_genre" dataDxfId="20"/>
    <tableColumn id="2" xr3:uid="{1918FE6C-2190-407C-8D9F-C21841FC6877}" name="title_jp" dataDxfId="19"/>
    <tableColumn id="3" xr3:uid="{042CAA4D-10BB-425A-938C-BC6EE16CD18E}" name="title_en" dataDxfId="1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DF53457-2FC6-4567-9EA0-7124823EE7D0}" name="tbl_scp_equipment" displayName="tbl_scp_equipment" ref="A1:C5" totalsRowShown="0" headerRowDxfId="17" dataDxfId="15" headerRowBorderDxfId="16">
  <autoFilter ref="A1:C5" xr:uid="{9DF53457-2FC6-4567-9EA0-7124823EE7D0}"/>
  <tableColumns count="3">
    <tableColumn id="1" xr3:uid="{976FD6E5-37F4-4418-978D-351AC39EE2BA}" name="key_scp_equipment" dataDxfId="14"/>
    <tableColumn id="2" xr3:uid="{D60920A4-ABA1-40F0-AC88-EF82BF63FC30}" name="title_jp" dataDxfId="13"/>
    <tableColumn id="3" xr3:uid="{55C7FD18-A669-4383-ADA8-8BF6F2E69DC2}" name="title_en" dataDxfId="1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C7F889D-B3E0-4FD6-821C-C096AD3BFF5F}" name="tbl_scp_equipment20" displayName="tbl_scp_equipment20" ref="A1:C4" totalsRowShown="0" headerRowDxfId="11" dataDxfId="9" headerRowBorderDxfId="10">
  <autoFilter ref="A1:C4" xr:uid="{2C7F889D-B3E0-4FD6-821C-C096AD3BFF5F}"/>
  <tableColumns count="3">
    <tableColumn id="1" xr3:uid="{96E097CB-843A-42DA-AF7B-0B42696EEA05}" name="key_scp_pii" dataDxfId="8"/>
    <tableColumn id="2" xr3:uid="{2A329958-C8AB-4F3E-B712-1AAA6A5DB0FA}" name="title_jp" dataDxfId="7"/>
    <tableColumn id="3" xr3:uid="{7F4C418E-2487-4BF2-A41E-F79D98A39082}" name="title_en" dataDxfId="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8A522F6-D088-4AED-AD95-07BF73FBF6B5}" name="tbl_scp_design_domain" displayName="tbl_scp_design_domain" ref="A1:C8" totalsRowShown="0" headerRowDxfId="5" dataDxfId="3" headerRowBorderDxfId="4">
  <autoFilter ref="A1:C8" xr:uid="{E8A522F6-D088-4AED-AD95-07BF73FBF6B5}"/>
  <tableColumns count="3">
    <tableColumn id="1" xr3:uid="{773FF422-6AB5-4CE3-B529-743788248F45}" name="key_scp_design_domain" dataDxfId="2"/>
    <tableColumn id="2" xr3:uid="{039269B8-B861-43AC-8ADC-E3696C78888E}" name="title_jp" dataDxfId="1"/>
    <tableColumn id="3" xr3:uid="{D37B99A9-DF1C-4B3F-A650-F6BB663B36E4}" name="title_en" data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スリップストリーム">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log.furusuzu0530.com/development-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jpeswa073.apo.epson.net/swa/000106/eqsopen.nsf/4e1739f41c25736b492576fc00084d22/79c74b35d32c66b049258b2e00274dfa?OpenDocument" TargetMode="External"/><Relationship Id="rId13" Type="http://schemas.openxmlformats.org/officeDocument/2006/relationships/hyperlink" Target="http://jpeswa073.apo.epson.net/swa/000106/eqsopen.nsf/G-10/G-10-007" TargetMode="External"/><Relationship Id="rId18" Type="http://schemas.openxmlformats.org/officeDocument/2006/relationships/hyperlink" Target="http://jpeswa073.apo.epson.net/swa/000106/eqsopen.nsf/1c698c1fd137ff9749257d64007bdec1/64baf75b7de660aa49258ba900208c39?OpenDocument" TargetMode="External"/><Relationship Id="rId26" Type="http://schemas.openxmlformats.org/officeDocument/2006/relationships/hyperlink" Target="https://www4.kitei-kanri.jp/gf7/seikoepson/browse.php?action_treeList&amp;rule=747&amp;public_id=1" TargetMode="External"/><Relationship Id="rId3" Type="http://schemas.openxmlformats.org/officeDocument/2006/relationships/hyperlink" Target="http://jpeswa073.apo.epson.net/swa/000106/eqsopen.nsf/B-10/B-10-007/" TargetMode="External"/><Relationship Id="rId21" Type="http://schemas.openxmlformats.org/officeDocument/2006/relationships/hyperlink" Target="http://jpeswa073.apo.epson.net/swa/000106/eqsopen.nsf/1c698c1fd137ff9749257d64007bdec1/7653718f63e2bb1949258d0c00709bd2?OpenDocument" TargetMode="External"/><Relationship Id="rId7" Type="http://schemas.openxmlformats.org/officeDocument/2006/relationships/hyperlink" Target="http://jpeswa073.apo.epson.net/swa/000106/eqsopen.nsf/606fe6d225426f10492576fc00026116/bf35830f6a0a8f7b4925856d002adbf1?OpenDocument" TargetMode="External"/><Relationship Id="rId12" Type="http://schemas.openxmlformats.org/officeDocument/2006/relationships/hyperlink" Target="http://jpeswa073.apo.epson.net/swa/000106/eqsopen.nsf/f21f2a636fa1c875492568c70016141d/f7e3ab98959c83264925895c0013d166?OpenDocument" TargetMode="External"/><Relationship Id="rId17" Type="http://schemas.openxmlformats.org/officeDocument/2006/relationships/hyperlink" Target="http://jpeswa073.apo.epson.net/swa/000106/eqsopen.nsf/G-10/G-10-006" TargetMode="External"/><Relationship Id="rId25" Type="http://schemas.openxmlformats.org/officeDocument/2006/relationships/hyperlink" Target="https://www4.kitei-kanri.jp/gf7/seikoepson/browse.php?action_treeList&amp;rule=768&amp;public_id=1" TargetMode="External"/><Relationship Id="rId2" Type="http://schemas.openxmlformats.org/officeDocument/2006/relationships/hyperlink" Target="https://ei-core-02.apo.epson.net/prozou/html/document/view/313535330000000000000000000000000000/1" TargetMode="External"/><Relationship Id="rId16" Type="http://schemas.openxmlformats.org/officeDocument/2006/relationships/hyperlink" Target="http://jpeswa073.apo.epson.net/swa/000106/eqsopen.nsf/G-10/G-10-007" TargetMode="External"/><Relationship Id="rId20" Type="http://schemas.openxmlformats.org/officeDocument/2006/relationships/hyperlink" Target="http://jpeswa073.apo.epson.net/swa/000106/eqsopen.nsf/1c698c1fd137ff9749257d64007bdec1/75b8e1764b069a3a492589de000758be?OpenDocument" TargetMode="External"/><Relationship Id="rId1" Type="http://schemas.openxmlformats.org/officeDocument/2006/relationships/hyperlink" Target="https://epsongroup.sharepoint.com/sites/ps_ja/SubSite6/documents/A-03-001%20Rev10.pdf" TargetMode="External"/><Relationship Id="rId6" Type="http://schemas.openxmlformats.org/officeDocument/2006/relationships/hyperlink" Target="http://jpeswa073.apo.epson.net/swa/000106/eqsopen.nsf/606fe6d225426f10492576fc00026116/9ad7a8d8afe6d7f8492589630080ff4c?OpenDocument" TargetMode="External"/><Relationship Id="rId11" Type="http://schemas.openxmlformats.org/officeDocument/2006/relationships/hyperlink" Target="http://jpeswa073.apo.epson.net/swa/000106/eqsopen.nsf/f21f2a636fa1c875492568c70016141d/b95509410673232749258b100024fd7f?OpenDocument" TargetMode="External"/><Relationship Id="rId24" Type="http://schemas.openxmlformats.org/officeDocument/2006/relationships/hyperlink" Target="http://jpeswa073.apo.epson.net/swa/000106/eqsopen.nsf/A-12/A-12-015/" TargetMode="External"/><Relationship Id="rId5" Type="http://schemas.openxmlformats.org/officeDocument/2006/relationships/hyperlink" Target="http://jpeswa073.apo.epson.net/swa/000106/eqsopen.nsf/e263adbc18db15e849256ffe00087a5e/d9c45078277ee4c149256ff10030e475?OpenDocument" TargetMode="External"/><Relationship Id="rId15" Type="http://schemas.openxmlformats.org/officeDocument/2006/relationships/hyperlink" Target="http://jpeswa073.apo.epson.net/swa/000106/eqsopen.nsf/B-12/B-12-004" TargetMode="External"/><Relationship Id="rId23" Type="http://schemas.openxmlformats.org/officeDocument/2006/relationships/hyperlink" Target="http://jpeswa073.apo.epson.net/swa/000106/eqsopen.nsf/A-12/A-12-016/" TargetMode="External"/><Relationship Id="rId10" Type="http://schemas.openxmlformats.org/officeDocument/2006/relationships/hyperlink" Target="http://jpeswa073.apo.epson.net/swa/000106/eqsopen.nsf/42f659deb8e6f947492568c70016141f/d8e2f1e3326bfa0849258afb00826c51?OpenDocument" TargetMode="External"/><Relationship Id="rId19" Type="http://schemas.openxmlformats.org/officeDocument/2006/relationships/hyperlink" Target="http://jpeswa073.apo.epson.net/swa/000106/eqsopen.nsf/1c698c1fd137ff9749257d64007bdec1/b05240973d33a08949258a590010e4ac?OpenDocument" TargetMode="External"/><Relationship Id="rId4" Type="http://schemas.openxmlformats.org/officeDocument/2006/relationships/hyperlink" Target="https://epsongroup.sharepoint.com/:w:/r/sites/00S_00415/DocLib5/Regulations/A-15-001%20%E5%9F%BA%E6%9C%AC%E8%A6%8F%E6%A0%BC.doc?d=waca14bc3778e4588ab79e30636520aa3&amp;csf=1&amp;web=1&amp;e=yGkmrH" TargetMode="External"/><Relationship Id="rId9" Type="http://schemas.openxmlformats.org/officeDocument/2006/relationships/hyperlink" Target="http://jpeswa073.apo.epson.net/swa/000106/eqsopen.nsf/680dcbd012756288492568c70016141b/93627b3b1606f892492581f30030ba8e?OpenDocument" TargetMode="External"/><Relationship Id="rId14" Type="http://schemas.openxmlformats.org/officeDocument/2006/relationships/hyperlink" Target="http://jpeswa073.apo.epson.net/swa/000106/eqsopen.nsf/G-10/G-10-007" TargetMode="External"/><Relationship Id="rId22" Type="http://schemas.openxmlformats.org/officeDocument/2006/relationships/hyperlink" Target="http://jpeswa073.apo.epson.net/swa/000106/eqsopen.nsf/A-12/A-12-017/" TargetMode="External"/><Relationship Id="rId27"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FC36-4730-4414-8671-DE21CA570F1C}">
  <dimension ref="B3:G55"/>
  <sheetViews>
    <sheetView workbookViewId="0">
      <selection activeCell="C9" sqref="C9"/>
    </sheetView>
  </sheetViews>
  <sheetFormatPr defaultRowHeight="14.7" x14ac:dyDescent="0.65"/>
  <cols>
    <col min="2" max="2" width="14.5" bestFit="1" customWidth="1"/>
    <col min="3" max="3" width="14.5" customWidth="1"/>
    <col min="4" max="4" width="72.88671875" customWidth="1"/>
    <col min="5" max="5" width="22" style="6" customWidth="1"/>
    <col min="6" max="7" width="22" customWidth="1"/>
  </cols>
  <sheetData>
    <row r="3" spans="2:7" x14ac:dyDescent="0.65">
      <c r="B3">
        <f>COLUMNS($B$2:B$2)</f>
        <v>1</v>
      </c>
      <c r="C3">
        <f>COLUMNS($B$2:C$2)</f>
        <v>2</v>
      </c>
      <c r="D3">
        <f>COLUMNS($B$2:D$2)</f>
        <v>3</v>
      </c>
      <c r="E3">
        <f>COLUMNS($B$2:E$2)</f>
        <v>4</v>
      </c>
      <c r="F3">
        <f>COLUMNS($B$2:F$2)</f>
        <v>5</v>
      </c>
      <c r="G3">
        <f>COLUMNS($B$2:G$2)</f>
        <v>6</v>
      </c>
    </row>
    <row r="4" spans="2:7" x14ac:dyDescent="0.65">
      <c r="E4"/>
    </row>
    <row r="5" spans="2:7" x14ac:dyDescent="0.65">
      <c r="B5" t="s">
        <v>4666</v>
      </c>
      <c r="C5" s="48" t="s">
        <v>4668</v>
      </c>
      <c r="D5" t="s">
        <v>4644</v>
      </c>
      <c r="E5" s="64" t="s">
        <v>4667</v>
      </c>
      <c r="F5" t="s">
        <v>4645</v>
      </c>
    </row>
    <row r="6" spans="2:7" x14ac:dyDescent="0.65">
      <c r="B6" s="14" t="s">
        <v>4513</v>
      </c>
      <c r="C6" s="14">
        <v>0</v>
      </c>
      <c r="D6" s="14"/>
      <c r="E6">
        <f>COLUMNS($B$2:E$2)</f>
        <v>4</v>
      </c>
      <c r="F6" s="14"/>
      <c r="G6">
        <v>6</v>
      </c>
    </row>
    <row r="7" spans="2:7" x14ac:dyDescent="0.65">
      <c r="B7" s="14" t="s">
        <v>4516</v>
      </c>
      <c r="C7" s="14">
        <v>1</v>
      </c>
      <c r="D7" s="14"/>
      <c r="E7">
        <f>COLUMNS($B$2:F$2)</f>
        <v>5</v>
      </c>
      <c r="F7" s="14"/>
    </row>
    <row r="8" spans="2:7" x14ac:dyDescent="0.65">
      <c r="B8" s="14" t="s">
        <v>4518</v>
      </c>
      <c r="C8" s="14">
        <v>2</v>
      </c>
      <c r="D8" s="14"/>
      <c r="E8">
        <f>COLUMNS($B$2:G$2)</f>
        <v>6</v>
      </c>
      <c r="F8" s="14"/>
    </row>
    <row r="9" spans="2:7" x14ac:dyDescent="0.65">
      <c r="E9"/>
    </row>
    <row r="10" spans="2:7" x14ac:dyDescent="0.65">
      <c r="E10"/>
    </row>
    <row r="11" spans="2:7" x14ac:dyDescent="0.65">
      <c r="B11" s="42" t="s">
        <v>11</v>
      </c>
      <c r="C11" s="42" t="s">
        <v>4579</v>
      </c>
      <c r="D11" s="42" t="s">
        <v>4586</v>
      </c>
      <c r="E11" s="43" t="s">
        <v>4513</v>
      </c>
      <c r="F11" s="43" t="s">
        <v>4516</v>
      </c>
      <c r="G11" s="44" t="s">
        <v>4518</v>
      </c>
    </row>
    <row r="12" spans="2:7" ht="41.4" customHeight="1" x14ac:dyDescent="0.65">
      <c r="B12" s="40" t="s">
        <v>4521</v>
      </c>
      <c r="C12" s="40" t="s">
        <v>4522</v>
      </c>
      <c r="D12" s="49" t="s">
        <v>4523</v>
      </c>
      <c r="E12" s="17" t="s">
        <v>4520</v>
      </c>
      <c r="F12" s="25"/>
      <c r="G12" s="41"/>
    </row>
    <row r="13" spans="2:7" ht="41.4" customHeight="1" x14ac:dyDescent="0.65">
      <c r="B13" s="40" t="s">
        <v>4524</v>
      </c>
      <c r="C13" s="40" t="s">
        <v>4522</v>
      </c>
      <c r="D13" s="49" t="s">
        <v>4525</v>
      </c>
      <c r="E13" s="17" t="s">
        <v>4520</v>
      </c>
      <c r="F13" s="25"/>
      <c r="G13" s="41"/>
    </row>
    <row r="14" spans="2:7" ht="41.4" customHeight="1" x14ac:dyDescent="0.65">
      <c r="B14" s="40" t="s">
        <v>25</v>
      </c>
      <c r="C14" s="40" t="s">
        <v>4522</v>
      </c>
      <c r="D14" s="49" t="s">
        <v>4526</v>
      </c>
      <c r="E14" s="17" t="s">
        <v>4520</v>
      </c>
      <c r="F14" s="25"/>
      <c r="G14" s="41"/>
    </row>
    <row r="15" spans="2:7" ht="41.4" customHeight="1" x14ac:dyDescent="0.65">
      <c r="B15" s="40" t="s">
        <v>4527</v>
      </c>
      <c r="C15" s="40" t="s">
        <v>4522</v>
      </c>
      <c r="D15" s="49" t="s">
        <v>4528</v>
      </c>
      <c r="E15" s="17" t="s">
        <v>4520</v>
      </c>
      <c r="F15" s="25"/>
      <c r="G15" s="41"/>
    </row>
    <row r="16" spans="2:7" ht="41.4" customHeight="1" x14ac:dyDescent="0.65">
      <c r="B16" s="40" t="s">
        <v>4529</v>
      </c>
      <c r="C16" s="40" t="s">
        <v>4530</v>
      </c>
      <c r="D16" s="49" t="s">
        <v>4531</v>
      </c>
      <c r="E16" s="17" t="s">
        <v>4578</v>
      </c>
      <c r="F16" s="25"/>
      <c r="G16" s="41"/>
    </row>
    <row r="17" spans="2:7" ht="41.4" customHeight="1" x14ac:dyDescent="0.65">
      <c r="B17" s="40" t="s">
        <v>4532</v>
      </c>
      <c r="C17" s="40" t="s">
        <v>4530</v>
      </c>
      <c r="D17" s="49" t="s">
        <v>4533</v>
      </c>
      <c r="E17" s="17" t="s">
        <v>4578</v>
      </c>
      <c r="F17" s="25"/>
      <c r="G17" s="41"/>
    </row>
    <row r="18" spans="2:7" ht="41.4" customHeight="1" x14ac:dyDescent="0.65">
      <c r="B18" s="40" t="s">
        <v>4534</v>
      </c>
      <c r="C18" s="40" t="s">
        <v>4535</v>
      </c>
      <c r="D18" s="49" t="s">
        <v>4536</v>
      </c>
      <c r="E18" s="17" t="s">
        <v>4578</v>
      </c>
      <c r="F18" s="25"/>
      <c r="G18" s="41"/>
    </row>
    <row r="19" spans="2:7" ht="41.4" customHeight="1" x14ac:dyDescent="0.65">
      <c r="B19" s="40" t="s">
        <v>4537</v>
      </c>
      <c r="C19" s="40" t="s">
        <v>4535</v>
      </c>
      <c r="D19" s="49" t="s">
        <v>4538</v>
      </c>
      <c r="E19" s="17" t="s">
        <v>4578</v>
      </c>
      <c r="F19" s="25"/>
      <c r="G19" s="41"/>
    </row>
    <row r="20" spans="2:7" ht="41.4" customHeight="1" x14ac:dyDescent="0.65">
      <c r="B20" s="40" t="s">
        <v>4539</v>
      </c>
      <c r="C20" s="40" t="s">
        <v>4540</v>
      </c>
      <c r="D20" s="49" t="s">
        <v>4541</v>
      </c>
      <c r="E20" s="17" t="s">
        <v>24</v>
      </c>
      <c r="F20" s="25"/>
      <c r="G20" s="41"/>
    </row>
    <row r="21" spans="2:7" ht="41.4" customHeight="1" x14ac:dyDescent="0.65">
      <c r="B21" s="40" t="s">
        <v>4542</v>
      </c>
      <c r="C21" s="40" t="s">
        <v>4543</v>
      </c>
      <c r="D21" s="49" t="s">
        <v>4544</v>
      </c>
      <c r="E21" s="17" t="s">
        <v>24</v>
      </c>
      <c r="F21" s="25"/>
      <c r="G21" s="41"/>
    </row>
    <row r="22" spans="2:7" ht="41.4" customHeight="1" x14ac:dyDescent="0.65">
      <c r="B22" s="40" t="s">
        <v>4519</v>
      </c>
      <c r="C22" s="40" t="s">
        <v>4545</v>
      </c>
      <c r="D22" s="49" t="s">
        <v>4546</v>
      </c>
      <c r="E22" s="17" t="s">
        <v>24</v>
      </c>
      <c r="F22" s="25"/>
      <c r="G22" s="41"/>
    </row>
    <row r="23" spans="2:7" ht="41.4" customHeight="1" x14ac:dyDescent="0.65">
      <c r="B23" s="40" t="s">
        <v>4547</v>
      </c>
      <c r="C23" s="40" t="s">
        <v>4545</v>
      </c>
      <c r="D23" s="49" t="s">
        <v>4548</v>
      </c>
      <c r="E23" s="17" t="s">
        <v>24</v>
      </c>
      <c r="F23" s="25"/>
      <c r="G23" s="41"/>
    </row>
    <row r="24" spans="2:7" ht="41.4" customHeight="1" x14ac:dyDescent="0.65">
      <c r="B24" s="40" t="s">
        <v>4549</v>
      </c>
      <c r="C24" s="40" t="s">
        <v>4550</v>
      </c>
      <c r="D24" s="49" t="s">
        <v>4551</v>
      </c>
      <c r="E24" s="17" t="s">
        <v>24</v>
      </c>
      <c r="F24" s="25"/>
      <c r="G24" s="41"/>
    </row>
    <row r="25" spans="2:7" ht="41.4" customHeight="1" x14ac:dyDescent="0.65">
      <c r="B25" s="40" t="s">
        <v>4552</v>
      </c>
      <c r="C25" s="40" t="s">
        <v>4553</v>
      </c>
      <c r="D25" s="49" t="s">
        <v>4554</v>
      </c>
      <c r="E25" s="17" t="s">
        <v>24</v>
      </c>
      <c r="F25" s="25"/>
      <c r="G25" s="41"/>
    </row>
    <row r="26" spans="2:7" ht="41.4" customHeight="1" x14ac:dyDescent="0.65">
      <c r="B26" s="40" t="s">
        <v>4555</v>
      </c>
      <c r="C26" s="40" t="s">
        <v>4556</v>
      </c>
      <c r="D26" s="49" t="s">
        <v>4557</v>
      </c>
      <c r="E26" s="17" t="s">
        <v>24</v>
      </c>
      <c r="F26" s="25"/>
      <c r="G26" s="41"/>
    </row>
    <row r="27" spans="2:7" ht="41.4" customHeight="1" x14ac:dyDescent="0.65">
      <c r="B27" s="40" t="s">
        <v>4558</v>
      </c>
      <c r="C27" s="40" t="s">
        <v>4556</v>
      </c>
      <c r="D27" s="49" t="s">
        <v>4559</v>
      </c>
      <c r="E27" s="17" t="s">
        <v>24</v>
      </c>
      <c r="F27" s="25"/>
      <c r="G27" s="41"/>
    </row>
    <row r="28" spans="2:7" ht="41.4" customHeight="1" x14ac:dyDescent="0.65">
      <c r="B28" s="40" t="s">
        <v>4560</v>
      </c>
      <c r="C28" s="40" t="s">
        <v>4556</v>
      </c>
      <c r="D28" s="49" t="s">
        <v>4561</v>
      </c>
      <c r="E28" s="17" t="s">
        <v>24</v>
      </c>
      <c r="F28" s="25"/>
      <c r="G28" s="41"/>
    </row>
    <row r="29" spans="2:7" ht="41.4" customHeight="1" x14ac:dyDescent="0.65">
      <c r="B29" s="40" t="s">
        <v>4562</v>
      </c>
      <c r="C29" s="40" t="s">
        <v>4563</v>
      </c>
      <c r="D29" s="49" t="s">
        <v>4580</v>
      </c>
      <c r="E29" s="17" t="s">
        <v>4578</v>
      </c>
      <c r="F29" s="25"/>
      <c r="G29" s="41"/>
    </row>
    <row r="30" spans="2:7" ht="41.4" customHeight="1" x14ac:dyDescent="0.65">
      <c r="B30" s="40" t="s">
        <v>4564</v>
      </c>
      <c r="C30" s="40" t="s">
        <v>4563</v>
      </c>
      <c r="D30" s="49" t="s">
        <v>4581</v>
      </c>
      <c r="E30" s="17" t="s">
        <v>4578</v>
      </c>
      <c r="F30" s="25"/>
      <c r="G30" s="41"/>
    </row>
    <row r="31" spans="2:7" ht="41.4" customHeight="1" x14ac:dyDescent="0.65">
      <c r="B31" s="40" t="s">
        <v>4565</v>
      </c>
      <c r="C31" s="40" t="s">
        <v>4566</v>
      </c>
      <c r="D31" s="49" t="s">
        <v>4567</v>
      </c>
      <c r="E31" s="17" t="s">
        <v>4520</v>
      </c>
      <c r="F31" s="25"/>
      <c r="G31" s="41"/>
    </row>
    <row r="32" spans="2:7" ht="41.4" customHeight="1" x14ac:dyDescent="0.65">
      <c r="B32" s="40" t="s">
        <v>4568</v>
      </c>
      <c r="C32" s="40" t="s">
        <v>4569</v>
      </c>
      <c r="D32" s="49" t="s">
        <v>4570</v>
      </c>
      <c r="E32" s="17" t="s">
        <v>4574</v>
      </c>
      <c r="F32" s="17"/>
      <c r="G32" s="41"/>
    </row>
    <row r="33" spans="2:7" ht="41.4" customHeight="1" x14ac:dyDescent="0.65">
      <c r="B33" s="40" t="s">
        <v>4571</v>
      </c>
      <c r="C33" s="40" t="s">
        <v>4572</v>
      </c>
      <c r="D33" s="49" t="s">
        <v>4573</v>
      </c>
      <c r="E33" s="17" t="s">
        <v>4574</v>
      </c>
      <c r="F33" s="17"/>
      <c r="G33" s="41"/>
    </row>
    <row r="34" spans="2:7" ht="41.4" customHeight="1" x14ac:dyDescent="0.65">
      <c r="B34" s="40" t="s">
        <v>4574</v>
      </c>
      <c r="C34" s="40" t="s">
        <v>4575</v>
      </c>
      <c r="D34" s="49" t="s">
        <v>4576</v>
      </c>
      <c r="E34" s="17" t="s">
        <v>4574</v>
      </c>
      <c r="F34" s="17"/>
      <c r="G34" s="41"/>
    </row>
    <row r="35" spans="2:7" ht="41.4" customHeight="1" x14ac:dyDescent="0.65">
      <c r="B35" s="45" t="s">
        <v>4577</v>
      </c>
      <c r="C35" s="45"/>
      <c r="D35" s="50"/>
      <c r="E35" s="46" t="s">
        <v>4577</v>
      </c>
      <c r="F35" s="46"/>
      <c r="G35" s="47"/>
    </row>
    <row r="36" spans="2:7" x14ac:dyDescent="0.65">
      <c r="B36" s="14"/>
      <c r="C36" s="14"/>
      <c r="D36" s="14"/>
      <c r="E36" s="14"/>
      <c r="F36" s="12"/>
      <c r="G36" s="12"/>
    </row>
    <row r="38" spans="2:7" x14ac:dyDescent="0.65">
      <c r="B38" s="56" t="s">
        <v>4582</v>
      </c>
      <c r="C38" s="56" t="s">
        <v>4579</v>
      </c>
      <c r="D38" s="56" t="s">
        <v>4586</v>
      </c>
      <c r="E38" s="57" t="s">
        <v>4513</v>
      </c>
      <c r="F38" s="57" t="s">
        <v>4516</v>
      </c>
      <c r="G38" s="58" t="s">
        <v>4518</v>
      </c>
    </row>
    <row r="39" spans="2:7" x14ac:dyDescent="0.65">
      <c r="B39" s="52" t="s">
        <v>4584</v>
      </c>
      <c r="C39" s="52" t="s">
        <v>4587</v>
      </c>
      <c r="D39" s="53"/>
      <c r="E39" s="51" t="s">
        <v>4583</v>
      </c>
      <c r="F39" s="54"/>
      <c r="G39" s="55"/>
    </row>
    <row r="40" spans="2:7" x14ac:dyDescent="0.65">
      <c r="B40" s="40" t="s">
        <v>4585</v>
      </c>
      <c r="C40" s="40" t="s">
        <v>4588</v>
      </c>
      <c r="D40" s="49"/>
      <c r="E40" s="17"/>
      <c r="F40" s="25"/>
      <c r="G40" s="41"/>
    </row>
    <row r="41" spans="2:7" x14ac:dyDescent="0.65">
      <c r="B41" s="59"/>
      <c r="C41" s="59" t="s">
        <v>4588</v>
      </c>
      <c r="D41" s="60"/>
      <c r="E41" s="61"/>
      <c r="F41" s="62"/>
      <c r="G41" s="63"/>
    </row>
    <row r="44" spans="2:7" x14ac:dyDescent="0.65">
      <c r="B44" s="56" t="s">
        <v>14</v>
      </c>
      <c r="C44" s="56" t="s">
        <v>4579</v>
      </c>
      <c r="D44" s="56" t="s">
        <v>4586</v>
      </c>
      <c r="E44" s="57" t="s">
        <v>4513</v>
      </c>
      <c r="F44" s="57" t="s">
        <v>4516</v>
      </c>
      <c r="G44" s="58" t="s">
        <v>4518</v>
      </c>
    </row>
    <row r="45" spans="2:7" x14ac:dyDescent="0.65">
      <c r="B45" s="52" t="s">
        <v>4584</v>
      </c>
      <c r="C45" s="52" t="s">
        <v>4587</v>
      </c>
      <c r="D45" s="53"/>
      <c r="E45" s="51" t="s">
        <v>4589</v>
      </c>
      <c r="F45" s="54"/>
      <c r="G45" s="55"/>
    </row>
    <row r="46" spans="2:7" x14ac:dyDescent="0.65">
      <c r="B46" s="40" t="s">
        <v>4585</v>
      </c>
      <c r="C46" s="40" t="s">
        <v>4588</v>
      </c>
      <c r="D46" s="49"/>
      <c r="E46" s="17"/>
      <c r="F46" s="25"/>
      <c r="G46" s="41"/>
    </row>
    <row r="47" spans="2:7" x14ac:dyDescent="0.65">
      <c r="B47" s="59"/>
      <c r="C47" s="59" t="s">
        <v>4588</v>
      </c>
      <c r="D47" s="60"/>
      <c r="E47" s="61"/>
      <c r="F47" s="62"/>
      <c r="G47" s="63"/>
    </row>
    <row r="50" spans="2:7" x14ac:dyDescent="0.65">
      <c r="B50" s="56" t="s">
        <v>15</v>
      </c>
      <c r="C50" s="56" t="s">
        <v>4579</v>
      </c>
      <c r="D50" s="56" t="s">
        <v>4586</v>
      </c>
      <c r="E50" s="57" t="s">
        <v>4513</v>
      </c>
      <c r="F50" s="57" t="s">
        <v>4516</v>
      </c>
      <c r="G50" s="58" t="s">
        <v>4518</v>
      </c>
    </row>
    <row r="51" spans="2:7" x14ac:dyDescent="0.65">
      <c r="B51" s="52" t="s">
        <v>4584</v>
      </c>
      <c r="C51" s="52" t="s">
        <v>4587</v>
      </c>
      <c r="D51" s="53"/>
      <c r="E51" s="51"/>
      <c r="F51" s="54"/>
      <c r="G51" s="55"/>
    </row>
    <row r="52" spans="2:7" x14ac:dyDescent="0.65">
      <c r="B52" s="40" t="s">
        <v>4585</v>
      </c>
      <c r="C52" s="40" t="s">
        <v>4588</v>
      </c>
      <c r="D52" s="49"/>
      <c r="E52" s="17"/>
      <c r="F52" s="25"/>
      <c r="G52" s="41"/>
    </row>
    <row r="53" spans="2:7" x14ac:dyDescent="0.65">
      <c r="B53" s="59"/>
      <c r="C53" s="59" t="s">
        <v>4588</v>
      </c>
      <c r="D53" s="60"/>
      <c r="E53" s="61"/>
      <c r="F53" s="62"/>
      <c r="G53" s="63"/>
    </row>
    <row r="54" spans="2:7" x14ac:dyDescent="0.65">
      <c r="F54" s="48"/>
    </row>
    <row r="55" spans="2:7" x14ac:dyDescent="0.65">
      <c r="F55" s="48"/>
    </row>
  </sheetData>
  <phoneticPr fontId="1"/>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08CB-5ACD-428E-B362-4295CF9CA239}">
  <dimension ref="A2:S237"/>
  <sheetViews>
    <sheetView tabSelected="1" topLeftCell="A110" zoomScale="85" zoomScaleNormal="85" workbookViewId="0">
      <selection activeCell="G64" sqref="G64"/>
    </sheetView>
  </sheetViews>
  <sheetFormatPr defaultColWidth="8.88671875" defaultRowHeight="13.5" outlineLevelCol="1" x14ac:dyDescent="0.65"/>
  <cols>
    <col min="1" max="1" width="7.5" style="12" customWidth="1"/>
    <col min="2" max="2" width="22.5546875" style="12" bestFit="1" customWidth="1"/>
    <col min="3" max="3" width="17.5546875" style="14" bestFit="1" customWidth="1"/>
    <col min="4" max="4" width="44.109375" style="14" bestFit="1" customWidth="1"/>
    <col min="5" max="5" width="10.44140625" style="14" customWidth="1"/>
    <col min="6" max="6" width="5.609375" style="14" bestFit="1" customWidth="1"/>
    <col min="7" max="7" width="9.5" style="14" bestFit="1" customWidth="1"/>
    <col min="8" max="8" width="11.44140625" style="14" bestFit="1" customWidth="1"/>
    <col min="9" max="9" width="10.21875" style="14" bestFit="1" customWidth="1"/>
    <col min="10" max="10" width="12.71875" style="14" bestFit="1" customWidth="1"/>
    <col min="11" max="11" width="3.6640625" style="12" bestFit="1" customWidth="1"/>
    <col min="12" max="12" width="3.5546875" style="12" bestFit="1" customWidth="1"/>
    <col min="13" max="13" width="23.83203125" style="12" customWidth="1"/>
    <col min="14" max="14" width="23.83203125" style="12" customWidth="1" outlineLevel="1"/>
    <col min="15" max="15" width="125.0546875" style="12" customWidth="1"/>
    <col min="16" max="16" width="78.109375" style="12" hidden="1" customWidth="1" outlineLevel="1"/>
    <col min="17" max="17" width="11.44140625" style="12" hidden="1" customWidth="1" outlineLevel="1"/>
    <col min="18" max="18" width="10.21875" style="12" bestFit="1" customWidth="1" outlineLevel="1"/>
    <col min="19" max="16384" width="8.88671875" style="12"/>
  </cols>
  <sheetData>
    <row r="2" spans="1:19" x14ac:dyDescent="0.65">
      <c r="A2" s="13" t="s">
        <v>0</v>
      </c>
    </row>
    <row r="3" spans="1:19" x14ac:dyDescent="0.65">
      <c r="O3" s="12" t="s">
        <v>4688</v>
      </c>
    </row>
    <row r="5" spans="1:19" x14ac:dyDescent="0.65">
      <c r="B5" s="22" t="s">
        <v>4</v>
      </c>
      <c r="C5" s="17" t="s">
        <v>4512</v>
      </c>
      <c r="O5" s="12">
        <v>100</v>
      </c>
    </row>
    <row r="6" spans="1:19" x14ac:dyDescent="0.65">
      <c r="O6" s="12">
        <v>44</v>
      </c>
    </row>
    <row r="7" spans="1:19" x14ac:dyDescent="0.65">
      <c r="N7" s="12" t="s">
        <v>4665</v>
      </c>
      <c r="O7" s="12" t="s">
        <v>4687</v>
      </c>
    </row>
    <row r="8" spans="1:19" x14ac:dyDescent="0.65">
      <c r="A8" s="12" t="s">
        <v>30</v>
      </c>
    </row>
    <row r="9" spans="1:19" x14ac:dyDescent="0.65">
      <c r="B9" s="15" t="s">
        <v>2</v>
      </c>
      <c r="C9" s="16" t="s">
        <v>3</v>
      </c>
      <c r="D9" s="17" t="s">
        <v>4399</v>
      </c>
      <c r="N9" s="25" t="str">
        <f>UPPER( D9 ) &amp; "," &amp;D9 &amp; ",,"</f>
        <v>TBL_CAT_TYPE,tbl_cat_type,,</v>
      </c>
      <c r="O9" s="25" t="str">
        <f>LEFT( LEFT("KEY_"&amp;UPPER(D9)&amp;REPT(" ",$O$6),$O$6) &amp; ": Final[str] = """&amp;UPPER(D9)&amp;"""" &amp; REPT(" ",$O$5),$O$5 ) &amp; "# " &amp;D10</f>
        <v>KEY_TBL_CAT_TYPE                            : Final[str] = "TBL_CAT_TYPE"                           # 基準類テーブル</v>
      </c>
    </row>
    <row r="10" spans="1:19" x14ac:dyDescent="0.65">
      <c r="B10" s="18"/>
      <c r="C10" s="19" t="s">
        <v>4</v>
      </c>
      <c r="D10" s="17" t="s">
        <v>5</v>
      </c>
    </row>
    <row r="11" spans="1:19" x14ac:dyDescent="0.65">
      <c r="B11" s="20" t="s">
        <v>6</v>
      </c>
      <c r="C11" s="20"/>
      <c r="D11" s="21"/>
      <c r="E11" s="20" t="s">
        <v>7</v>
      </c>
      <c r="F11" s="20"/>
      <c r="G11" s="20"/>
      <c r="H11" s="20"/>
      <c r="I11" s="20"/>
      <c r="J11" s="20" t="s">
        <v>8</v>
      </c>
      <c r="K11" s="20"/>
      <c r="L11" s="20"/>
      <c r="M11" s="20"/>
      <c r="N11" s="20" t="s">
        <v>4514</v>
      </c>
      <c r="O11" s="20"/>
      <c r="P11" s="20"/>
      <c r="Q11" s="20"/>
      <c r="R11" s="20"/>
    </row>
    <row r="12" spans="1:19" x14ac:dyDescent="0.65">
      <c r="B12" s="22" t="s">
        <v>9</v>
      </c>
      <c r="C12" s="22" t="s">
        <v>4</v>
      </c>
      <c r="D12" s="23" t="s">
        <v>10</v>
      </c>
      <c r="E12" s="22" t="s">
        <v>11</v>
      </c>
      <c r="F12" s="22" t="s">
        <v>12</v>
      </c>
      <c r="G12" s="22" t="s">
        <v>4512</v>
      </c>
      <c r="H12" s="22" t="s">
        <v>4515</v>
      </c>
      <c r="I12" s="22" t="s">
        <v>4517</v>
      </c>
      <c r="J12" s="22" t="s">
        <v>13</v>
      </c>
      <c r="K12" s="22" t="s">
        <v>14</v>
      </c>
      <c r="L12" s="22" t="s">
        <v>15</v>
      </c>
      <c r="M12" s="22"/>
      <c r="N12" s="22" t="s">
        <v>4665</v>
      </c>
      <c r="O12" s="22"/>
      <c r="P12" s="22" t="s">
        <v>4513</v>
      </c>
      <c r="Q12" s="22" t="s">
        <v>4516</v>
      </c>
      <c r="R12" s="22" t="s">
        <v>4518</v>
      </c>
    </row>
    <row r="13" spans="1:19" x14ac:dyDescent="0.65">
      <c r="B13" s="17" t="str">
        <f ca="1">OFFSET( tbl_cat_type[[#Headers],[key_cat_type]], 0, ROWS( $A$13:A13 )-1 )</f>
        <v>key_cat_type</v>
      </c>
      <c r="C13" s="17" t="s">
        <v>4591</v>
      </c>
      <c r="D13" s="24" t="s">
        <v>4614</v>
      </c>
      <c r="E13" s="17" t="s">
        <v>18</v>
      </c>
      <c r="F13" s="17">
        <v>4</v>
      </c>
      <c r="G13" s="17" t="str">
        <f>VLOOKUP($E13, sql_type[#All], '&lt;SQL&gt; '!$E$3, FALSE )</f>
        <v>INTEGER</v>
      </c>
      <c r="H13" s="17"/>
      <c r="I13" s="17">
        <f ca="1">OFFSET( E13,0,1)</f>
        <v>4</v>
      </c>
      <c r="J13" s="17" t="s">
        <v>19</v>
      </c>
      <c r="K13" s="17" t="s">
        <v>19</v>
      </c>
      <c r="L13" s="25"/>
      <c r="M13" s="25" t="str" cm="1">
        <f t="array" aca="1" ref="M13" ca="1">"ITM_"&amp;UPPER(RIGHT(OFFSET(D13,S13,0),LEN(OFFSET(D13,S13,0))-4))&amp;"_"&amp;_xlfn.IFNA(_xlfn.IFS(K13="Y","PKEY",L13="Y","F"&amp;UPPER(B13)),UPPER(B13))</f>
        <v>ITM_CAT_TYPE_PKEY</v>
      </c>
      <c r="N13" s="25" t="str">
        <f ca="1">M13&amp;","&amp;B13&amp;","&amp;OFFSET(G13,0,VLOOKUP($C$5,SQL[#All],2,FALSE) ) &amp;", -- "&amp;D13</f>
        <v>ITM_CAT_TYPE_PKEY,key_cat_type,INTEGER, -- キー大分類キー</v>
      </c>
      <c r="O13" s="25" t="str">
        <f ca="1">LEFT(LEFT("KEY_"&amp;M13&amp;REPT(" ",$O$6),$O$6)&amp;": Final[str] = """&amp;M13&amp;""""&amp;REPT(" ",$O$5),$O$5)&amp;"# "&amp;D13</f>
        <v>KEY_ITM_CAT_TYPE_PKEY                       : Final[str] = "ITM_CAT_TYPE_PKEY"                      # キー大分類キー</v>
      </c>
      <c r="P13" s="25" t="str">
        <f ca="1">$B13 &amp; " " &amp; VLOOKUP($E13, sql_type[#All], '&lt;SQL&gt; '!$E$3, FALSE )&amp; " " &amp; IFERROR( IF($K13="", VLOOKUP(K13, sql_notnull[#All], '&lt;SQL&gt; '!$E$3, FALSE ), VLOOKUP($K13, sql_pk[], '&lt;SQL&gt; '!$E$3, FALSE ) ), "" ) &amp; ", -- "  &amp;$D13</f>
        <v>key_cat_type INTEGER PRIMARY KEY, -- キー大分類キー</v>
      </c>
      <c r="Q13" s="25"/>
      <c r="R13" s="25"/>
      <c r="S13" s="12">
        <v>-4</v>
      </c>
    </row>
    <row r="14" spans="1:19" x14ac:dyDescent="0.65">
      <c r="B14" s="17" t="str">
        <f ca="1">OFFSET( tbl_cat_type[[#Headers],[key_cat_type]], 0, ROWS( $A$13:A14 )-1 )</f>
        <v>title_jp</v>
      </c>
      <c r="C14" s="17" t="s">
        <v>4596</v>
      </c>
      <c r="D14" s="24" t="s">
        <v>4596</v>
      </c>
      <c r="E14" s="17" t="s">
        <v>21</v>
      </c>
      <c r="F14" s="17">
        <v>100</v>
      </c>
      <c r="G14" s="17" t="str">
        <f>VLOOKUP($E14, sql_type[#All], '&lt;SQL&gt; '!$E$3, FALSE )</f>
        <v>TEXT</v>
      </c>
      <c r="H14" s="17"/>
      <c r="I14" s="17"/>
      <c r="J14" s="17" t="s">
        <v>19</v>
      </c>
      <c r="K14" s="17"/>
      <c r="L14" s="25"/>
      <c r="M14" s="25" t="str" cm="1">
        <f t="array" aca="1" ref="M14" ca="1">"ITM_"&amp;UPPER(RIGHT(OFFSET(D14,S14,0),LEN(OFFSET(D14,S14,0))-4))&amp;"_"&amp;_xlfn.IFNA(_xlfn.IFS(K14="Y","PKEY",L14="Y","F"&amp;UPPER(B14)),UPPER(B14))</f>
        <v>ITM_CAT_TYPE_TITLE_JP</v>
      </c>
      <c r="N14" s="25" t="str">
        <f ca="1">M14&amp;","&amp;B14&amp;","&amp;OFFSET(G14,0,VLOOKUP($C$5,SQL[#All],2,FALSE) ) &amp;", -- "&amp;D14</f>
        <v>ITM_CAT_TYPE_TITLE_JP,title_jp,TEXT, -- 日本語名称</v>
      </c>
      <c r="O14" s="25" t="str">
        <f t="shared" ref="O14:O16" ca="1" si="0">LEFT(LEFT("KEY_"&amp;M14&amp;REPT(" ",$O$6),$O$6)&amp;": Final[str] = """&amp;M14&amp;""""&amp;REPT(" ",$O$5),$O$5)&amp;"# "&amp;D14</f>
        <v>KEY_ITM_CAT_TYPE_TITLE_JP                   : Final[str] = "ITM_CAT_TYPE_TITLE_JP"                  # 日本語名称</v>
      </c>
      <c r="P14" s="25" t="str">
        <f ca="1">$B14 &amp; " " &amp; VLOOKUP($E14, sql_type[#All], '&lt;SQL&gt; '!$E$3, FALSE )&amp; " " &amp; IFERROR( IF($K14="", VLOOKUP(K14, sql_notnull[#All], '&lt;SQL&gt; '!$E$3, FALSE ), VLOOKUP($K14, sql_pk[], '&lt;SQL&gt; '!$E$3, FALSE ) ), "" ) &amp; ", -- "  &amp;$D14</f>
        <v>title_jp TEXT , -- 日本語名称</v>
      </c>
      <c r="Q14" s="25"/>
      <c r="R14" s="25"/>
      <c r="S14" s="12">
        <v>-5</v>
      </c>
    </row>
    <row r="15" spans="1:19" x14ac:dyDescent="0.65">
      <c r="B15" s="17" t="str">
        <f ca="1">OFFSET( tbl_cat_type[[#Headers],[key_cat_type]], 0, ROWS( $A$13:A15 )-1 )</f>
        <v>title_en</v>
      </c>
      <c r="C15" s="17" t="s">
        <v>4601</v>
      </c>
      <c r="D15" s="24" t="s">
        <v>4601</v>
      </c>
      <c r="E15" s="17" t="s">
        <v>21</v>
      </c>
      <c r="F15" s="17">
        <v>100</v>
      </c>
      <c r="G15" s="17" t="str">
        <f>VLOOKUP($E15, sql_type[#All], '&lt;SQL&gt; '!$E$3, FALSE )</f>
        <v>TEXT</v>
      </c>
      <c r="H15" s="17"/>
      <c r="I15" s="17"/>
      <c r="J15" s="17" t="s">
        <v>19</v>
      </c>
      <c r="K15" s="17"/>
      <c r="L15" s="25"/>
      <c r="M15" s="25" t="str" cm="1">
        <f t="array" aca="1" ref="M15" ca="1">"ITM_"&amp;UPPER(RIGHT(OFFSET(D15,S15,0),LEN(OFFSET(D15,S15,0))-4))&amp;"_"&amp;_xlfn.IFNA(_xlfn.IFS(K15="Y","PKEY",L15="Y","F"&amp;UPPER(B15)),UPPER(B15))</f>
        <v>ITM_CAT_TYPE_TITLE_EN</v>
      </c>
      <c r="N15" s="25" t="str">
        <f ca="1">M15&amp;","&amp;B15&amp;","&amp;OFFSET(G15,0,VLOOKUP($C$5,SQL[#All],2,FALSE) ) &amp;", -- "&amp;D15</f>
        <v>ITM_CAT_TYPE_TITLE_EN,title_en,TEXT, -- 英語コード</v>
      </c>
      <c r="O15" s="25" t="str">
        <f t="shared" ca="1" si="0"/>
        <v>KEY_ITM_CAT_TYPE_TITLE_EN                   : Final[str] = "ITM_CAT_TYPE_TITLE_EN"                  # 英語コード</v>
      </c>
      <c r="P15" s="25" t="str">
        <f ca="1">$B15 &amp; " " &amp; VLOOKUP($E15, sql_type[#All], '&lt;SQL&gt; '!$E$3, FALSE )&amp; " " &amp; IFERROR( IF($K15="", VLOOKUP(K15, sql_notnull[#All], '&lt;SQL&gt; '!$E$3, FALSE ), VLOOKUP($K15, sql_pk[], '&lt;SQL&gt; '!$E$3, FALSE ) ), "" ) &amp; ", -- "  &amp;$D15</f>
        <v>title_en TEXT , -- 英語コード</v>
      </c>
      <c r="Q15" s="25"/>
      <c r="R15" s="25"/>
      <c r="S15" s="12">
        <v>-6</v>
      </c>
    </row>
    <row r="16" spans="1:19" x14ac:dyDescent="0.65">
      <c r="B16" s="17" t="s">
        <v>4414</v>
      </c>
      <c r="C16" s="17" t="s">
        <v>4592</v>
      </c>
      <c r="D16" s="24" t="s">
        <v>4592</v>
      </c>
      <c r="E16" s="17" t="s">
        <v>24</v>
      </c>
      <c r="F16" s="17"/>
      <c r="G16" s="17" t="str">
        <f>VLOOKUP($E16, sql_type[#All], '&lt;SQL&gt; '!$E$3, FALSE )</f>
        <v>TEXT</v>
      </c>
      <c r="H16" s="17"/>
      <c r="I16" s="17"/>
      <c r="J16" s="17" t="s">
        <v>19</v>
      </c>
      <c r="K16" s="17"/>
      <c r="L16" s="25"/>
      <c r="M16" s="25" t="str" cm="1">
        <f t="array" aca="1" ref="M16" ca="1">"ITM_"&amp;UPPER(RIGHT(OFFSET(D16,S16,0),LEN(OFFSET(D16,S16,0))-4))&amp;"_"&amp;_xlfn.IFNA(_xlfn.IFS(K16="Y","PKEY",L16="Y","F"&amp;UPPER(B16)),UPPER(B16))</f>
        <v>ITM_CAT_TYPE_PATH</v>
      </c>
      <c r="N16" s="25" t="str">
        <f ca="1">M16&amp;","&amp;B16&amp;","&amp;OFFSET(G16,0,VLOOKUP($C$5,SQL[#All],2,FALSE) ) &amp;", -- "&amp;D16</f>
        <v>ITM_CAT_TYPE_PATH,path,TEXT, -- 保存先フォルダのパス</v>
      </c>
      <c r="O16" s="25" t="str">
        <f t="shared" ca="1" si="0"/>
        <v>KEY_ITM_CAT_TYPE_PATH                       : Final[str] = "ITM_CAT_TYPE_PATH"                      # 保存先フォルダのパス</v>
      </c>
      <c r="P16" s="25" t="str">
        <f>$B16 &amp; " " &amp; VLOOKUP($E16, sql_type[#All], '&lt;SQL&gt; '!$E$3, FALSE )&amp; " " &amp; IFERROR( IF($K16="", VLOOKUP(K16, sql_notnull[#All], '&lt;SQL&gt; '!$E$3, FALSE ), VLOOKUP($K16, sql_pk[], '&lt;SQL&gt; '!$E$3, FALSE ) ), "" ) &amp; ", -- "  &amp;$D16</f>
        <v>path TEXT , -- 保存先フォルダのパス</v>
      </c>
      <c r="Q16" s="25"/>
      <c r="R16" s="25"/>
      <c r="S16" s="12">
        <v>-7</v>
      </c>
    </row>
    <row r="17" spans="1:19" x14ac:dyDescent="0.65">
      <c r="B17" s="17"/>
      <c r="C17" s="17"/>
      <c r="D17" s="24"/>
      <c r="E17" s="17"/>
      <c r="F17" s="17"/>
      <c r="G17" s="17"/>
      <c r="H17" s="17"/>
      <c r="I17" s="17"/>
      <c r="J17" s="17"/>
      <c r="K17" s="25"/>
      <c r="L17" s="25"/>
      <c r="M17" s="25"/>
      <c r="N17" s="25"/>
      <c r="O17" s="25"/>
      <c r="P17" s="25"/>
      <c r="Q17" s="25"/>
      <c r="R17" s="25"/>
      <c r="S17" s="12">
        <v>-8</v>
      </c>
    </row>
    <row r="19" spans="1:19" x14ac:dyDescent="0.65">
      <c r="A19" s="12" t="s">
        <v>35</v>
      </c>
    </row>
    <row r="20" spans="1:19" x14ac:dyDescent="0.65">
      <c r="B20" s="15" t="s">
        <v>2</v>
      </c>
      <c r="C20" s="16" t="s">
        <v>3</v>
      </c>
      <c r="D20" s="17" t="s">
        <v>4400</v>
      </c>
      <c r="N20" s="25" t="str">
        <f>UPPER( D20 ) &amp; "," &amp;D20 &amp; ",,"</f>
        <v>TBL_CAT_MAJOR,tbl_cat_major,,</v>
      </c>
      <c r="O20" s="25" t="str">
        <f>LEFT( LEFT("KEY_"&amp;UPPER(D20)&amp;REPT(" ",$O$6),$O$6) &amp; ": Final[str] = """&amp;UPPER(D20)&amp;"""" &amp; REPT(" ",$O$5),$O$5 ) &amp; "# " &amp;D21</f>
        <v>KEY_TBL_CAT_MAJOR                           : Final[str] = "TBL_CAT_MAJOR"                          # 基準大分類テーブル</v>
      </c>
    </row>
    <row r="21" spans="1:19" x14ac:dyDescent="0.65">
      <c r="B21" s="18"/>
      <c r="C21" s="19" t="s">
        <v>4</v>
      </c>
      <c r="D21" s="17" t="s">
        <v>36</v>
      </c>
    </row>
    <row r="22" spans="1:19" x14ac:dyDescent="0.65">
      <c r="B22" s="20" t="s">
        <v>6</v>
      </c>
      <c r="C22" s="20"/>
      <c r="D22" s="21"/>
      <c r="E22" s="20" t="s">
        <v>7</v>
      </c>
      <c r="F22" s="20"/>
      <c r="G22" s="20"/>
      <c r="H22" s="20"/>
      <c r="I22" s="20"/>
      <c r="J22" s="20" t="s">
        <v>8</v>
      </c>
      <c r="K22" s="20"/>
      <c r="L22" s="20"/>
      <c r="M22" s="20"/>
      <c r="N22" s="20" t="s">
        <v>4514</v>
      </c>
      <c r="O22" s="20"/>
      <c r="P22" s="20"/>
      <c r="Q22" s="20"/>
      <c r="R22" s="20"/>
    </row>
    <row r="23" spans="1:19" x14ac:dyDescent="0.65">
      <c r="B23" s="22" t="s">
        <v>9</v>
      </c>
      <c r="C23" s="22" t="s">
        <v>4</v>
      </c>
      <c r="D23" s="23" t="s">
        <v>10</v>
      </c>
      <c r="E23" s="22" t="s">
        <v>11</v>
      </c>
      <c r="F23" s="22" t="s">
        <v>12</v>
      </c>
      <c r="G23" s="22" t="s">
        <v>4512</v>
      </c>
      <c r="H23" s="22" t="s">
        <v>4515</v>
      </c>
      <c r="I23" s="22" t="s">
        <v>4517</v>
      </c>
      <c r="J23" s="22" t="s">
        <v>13</v>
      </c>
      <c r="K23" s="22" t="s">
        <v>14</v>
      </c>
      <c r="L23" s="22" t="s">
        <v>15</v>
      </c>
      <c r="M23" s="22"/>
      <c r="N23" s="22" t="s">
        <v>4665</v>
      </c>
      <c r="O23" s="22"/>
      <c r="P23" s="22" t="s">
        <v>4513</v>
      </c>
      <c r="Q23" s="22" t="s">
        <v>4516</v>
      </c>
      <c r="R23" s="22" t="s">
        <v>4518</v>
      </c>
    </row>
    <row r="24" spans="1:19" x14ac:dyDescent="0.65">
      <c r="B24" s="17" t="str">
        <f ca="1">OFFSET( tbl_cat_major[[#Headers],[key_cat_major]], 0, ROWS( $A$24:A24 )-1 )</f>
        <v>key_cat_major</v>
      </c>
      <c r="C24" s="17" t="s">
        <v>4593</v>
      </c>
      <c r="D24" s="24" t="s">
        <v>4593</v>
      </c>
      <c r="E24" s="17" t="s">
        <v>18</v>
      </c>
      <c r="F24" s="17">
        <v>4</v>
      </c>
      <c r="G24" s="17" t="str">
        <f>VLOOKUP($E24, sql_type[#All], '&lt;SQL&gt; '!$E$3, FALSE )</f>
        <v>INTEGER</v>
      </c>
      <c r="H24" s="17"/>
      <c r="I24" s="17"/>
      <c r="J24" s="17" t="s">
        <v>19</v>
      </c>
      <c r="K24" s="17" t="s">
        <v>19</v>
      </c>
      <c r="L24" s="25"/>
      <c r="M24" s="25" t="str" cm="1">
        <f t="array" aca="1" ref="M24" ca="1">"ITM_"&amp;UPPER(RIGHT(OFFSET(D24,S24,0),LEN(OFFSET(D24,S24,0))-4))&amp;"_"&amp;_xlfn.IFNA(_xlfn.IFS(K24="Y","PKEY",L24="Y","F"&amp;UPPER(B24)),UPPER(B24))</f>
        <v>ITM_CAT_MAJOR_PKEY</v>
      </c>
      <c r="N24" s="25" t="str">
        <f ca="1">M24&amp;","&amp;B24&amp;","&amp;OFFSET(G24,0,VLOOKUP($C$5,SQL[#All],2,FALSE) ) &amp;", -- "&amp;D24</f>
        <v>ITM_CAT_MAJOR_PKEY,key_cat_major,INTEGER, -- 中分類キー</v>
      </c>
      <c r="O24" s="25" t="str">
        <f t="shared" ref="O24:O28" ca="1" si="1">LEFT(LEFT("KEY_"&amp;M24&amp;REPT(" ",$O$6),$O$6)&amp;": Final[str] = """&amp;M24&amp;""""&amp;REPT(" ",$O$5),$O$5)&amp;"# "&amp;D24</f>
        <v>KEY_ITM_CAT_MAJOR_PKEY                      : Final[str] = "ITM_CAT_MAJOR_PKEY"                     # 中分類キー</v>
      </c>
      <c r="P24" s="25" t="str">
        <f ca="1">$B24 &amp; " " &amp; VLOOKUP($E24, sql_type[#All], '&lt;SQL&gt; '!$E$3, FALSE )&amp; " " &amp; IFERROR( IF($K24="", VLOOKUP(K24, sql_notnull[#All], '&lt;SQL&gt; '!$E$3, FALSE ), VLOOKUP($K24, sql_pk[], '&lt;SQL&gt; '!$E$3, FALSE ) ), "" ) &amp; ", -- "  &amp;$D24</f>
        <v>key_cat_major INTEGER PRIMARY KEY, -- 中分類キー</v>
      </c>
      <c r="Q24" s="25"/>
      <c r="R24" s="25"/>
      <c r="S24" s="12">
        <v>-4</v>
      </c>
    </row>
    <row r="25" spans="1:19" x14ac:dyDescent="0.65">
      <c r="B25" s="17" t="str">
        <f ca="1">OFFSET( tbl_cat_major[[#Headers],[key_cat_major]], 0, ROWS( $A$24:A25 )-1 )</f>
        <v>title_jp</v>
      </c>
      <c r="C25" s="17" t="s">
        <v>4596</v>
      </c>
      <c r="D25" s="24" t="s">
        <v>4596</v>
      </c>
      <c r="E25" s="17" t="s">
        <v>21</v>
      </c>
      <c r="F25" s="17">
        <v>100</v>
      </c>
      <c r="G25" s="17" t="str">
        <f>VLOOKUP($E25, sql_type[#All], '&lt;SQL&gt; '!$E$3, FALSE )</f>
        <v>TEXT</v>
      </c>
      <c r="H25" s="17"/>
      <c r="I25" s="17"/>
      <c r="J25" s="17" t="s">
        <v>19</v>
      </c>
      <c r="K25" s="17"/>
      <c r="L25" s="25"/>
      <c r="M25" s="25" t="str" cm="1">
        <f t="array" aca="1" ref="M25" ca="1">"ITM_"&amp;UPPER(RIGHT(OFFSET(D25,S25,0),LEN(OFFSET(D25,S25,0))-4))&amp;"_"&amp;_xlfn.IFNA(_xlfn.IFS(K25="Y","PKEY",L25="Y","F"&amp;UPPER(B25)),UPPER(B25))</f>
        <v>ITM_CAT_MAJOR_TITLE_JP</v>
      </c>
      <c r="N25" s="25" t="str">
        <f ca="1">M25&amp;","&amp;B25&amp;","&amp;OFFSET(G25,0,VLOOKUP($C$5,SQL[#All],2,FALSE) ) &amp;", -- "&amp;D25</f>
        <v>ITM_CAT_MAJOR_TITLE_JP,title_jp,TEXT, -- 日本語名称</v>
      </c>
      <c r="O25" s="25" t="str">
        <f t="shared" ca="1" si="1"/>
        <v>KEY_ITM_CAT_MAJOR_TITLE_JP                  : Final[str] = "ITM_CAT_MAJOR_TITLE_JP"                 # 日本語名称</v>
      </c>
      <c r="P25" s="25" t="str">
        <f ca="1">$B25 &amp; " " &amp; VLOOKUP($E25, sql_type[#All], '&lt;SQL&gt; '!$E$3, FALSE )&amp; " " &amp; IFERROR( IF($K25="", VLOOKUP(K25, sql_notnull[#All], '&lt;SQL&gt; '!$E$3, FALSE ), VLOOKUP($K25, sql_pk[], '&lt;SQL&gt; '!$E$3, FALSE ) ), "" ) &amp; ", -- "  &amp;$D25</f>
        <v>title_jp TEXT , -- 日本語名称</v>
      </c>
      <c r="Q25" s="25"/>
      <c r="R25" s="25"/>
      <c r="S25" s="12">
        <v>-5</v>
      </c>
    </row>
    <row r="26" spans="1:19" x14ac:dyDescent="0.65">
      <c r="B26" s="17" t="str">
        <f ca="1">OFFSET( tbl_cat_major[[#Headers],[key_cat_major]], 0, ROWS( $A$24:A26 )-1 )</f>
        <v>title_en</v>
      </c>
      <c r="C26" s="17" t="s">
        <v>4595</v>
      </c>
      <c r="D26" s="24" t="s">
        <v>4595</v>
      </c>
      <c r="E26" s="17" t="s">
        <v>21</v>
      </c>
      <c r="F26" s="17">
        <v>100</v>
      </c>
      <c r="G26" s="17" t="str">
        <f>VLOOKUP($E26, sql_type[#All], '&lt;SQL&gt; '!$E$3, FALSE )</f>
        <v>TEXT</v>
      </c>
      <c r="H26" s="17"/>
      <c r="I26" s="17"/>
      <c r="J26" s="17" t="s">
        <v>19</v>
      </c>
      <c r="K26" s="17"/>
      <c r="L26" s="25"/>
      <c r="M26" s="25" t="str" cm="1">
        <f t="array" aca="1" ref="M26" ca="1">"ITM_"&amp;UPPER(RIGHT(OFFSET(D26,S26,0),LEN(OFFSET(D26,S26,0))-4))&amp;"_"&amp;_xlfn.IFNA(_xlfn.IFS(K26="Y","PKEY",L26="Y","F"&amp;UPPER(B26)),UPPER(B26))</f>
        <v>ITM_CAT_MAJOR_TITLE_EN</v>
      </c>
      <c r="N26" s="25" t="str">
        <f ca="1">M26&amp;","&amp;B26&amp;","&amp;OFFSET(G26,0,VLOOKUP($C$5,SQL[#All],2,FALSE) ) &amp;", -- "&amp;D26</f>
        <v>ITM_CAT_MAJOR_TITLE_EN,title_en,TEXT, -- 英語名称</v>
      </c>
      <c r="O26" s="25" t="str">
        <f t="shared" ca="1" si="1"/>
        <v>KEY_ITM_CAT_MAJOR_TITLE_EN                  : Final[str] = "ITM_CAT_MAJOR_TITLE_EN"                 # 英語名称</v>
      </c>
      <c r="P26" s="25" t="str">
        <f ca="1">$B26 &amp; " " &amp; VLOOKUP($E26, sql_type[#All], '&lt;SQL&gt; '!$E$3, FALSE )&amp; " " &amp; IFERROR( IF($K26="", VLOOKUP(K26, sql_notnull[#All], '&lt;SQL&gt; '!$E$3, FALSE ), VLOOKUP($K26, sql_pk[], '&lt;SQL&gt; '!$E$3, FALSE ) ), "" ) &amp; ", -- "  &amp;$D26</f>
        <v>title_en TEXT , -- 英語名称</v>
      </c>
      <c r="Q26" s="25"/>
      <c r="R26" s="25"/>
      <c r="S26" s="12">
        <v>-6</v>
      </c>
    </row>
    <row r="27" spans="1:19" x14ac:dyDescent="0.65">
      <c r="A27" s="12" t="b">
        <f ca="1">B27=B13</f>
        <v>1</v>
      </c>
      <c r="B27" s="17" t="str">
        <f ca="1">OFFSET( tbl_cat_major[[#Headers],[key_cat_major]], 0, ROWS( $A$24:A27 )-1 )</f>
        <v>key_cat_type</v>
      </c>
      <c r="C27" s="17" t="s">
        <v>4612</v>
      </c>
      <c r="D27" s="24" t="s">
        <v>4597</v>
      </c>
      <c r="E27" s="17" t="s">
        <v>18</v>
      </c>
      <c r="F27" s="17">
        <v>4</v>
      </c>
      <c r="G27" s="17" t="str">
        <f>VLOOKUP($E27, sql_type[#All], '&lt;SQL&gt; '!$E$3, FALSE )</f>
        <v>INTEGER</v>
      </c>
      <c r="H27" s="17"/>
      <c r="I27" s="17"/>
      <c r="J27" s="17" t="s">
        <v>19</v>
      </c>
      <c r="K27" s="17"/>
      <c r="L27" s="17" t="s">
        <v>19</v>
      </c>
      <c r="M27" s="25" t="str" cm="1">
        <f t="array" aca="1" ref="M27" ca="1">"ITM_"&amp;UPPER(RIGHT(OFFSET(D27,S27,0),LEN(OFFSET(D27,S27,0))-4))&amp;"_"&amp;_xlfn.IFNA(_xlfn.IFS(K27="Y","PKEY",L27="Y","F"&amp;UPPER(B27)),UPPER(B27))</f>
        <v>ITM_CAT_MAJOR_FKEY_CAT_TYPE</v>
      </c>
      <c r="N27" s="25" t="str">
        <f ca="1">M27&amp;","&amp;B27&amp;","&amp;OFFSET(G27,0,VLOOKUP($C$5,SQL[#All],2,FALSE) ) &amp;", -- "&amp;D27</f>
        <v>ITM_CAT_MAJOR_FKEY_CAT_TYPE,key_cat_type,INTEGER, -- 対応する大分類key_cat_type</v>
      </c>
      <c r="O27" s="25" t="str">
        <f t="shared" ca="1" si="1"/>
        <v>KEY_ITM_CAT_MAJOR_FKEY_CAT_TYPE             : Final[str] = "ITM_CAT_MAJOR_FKEY_CAT_TYPE"            # 対応する大分類key_cat_type</v>
      </c>
      <c r="P27" s="25" t="str">
        <f ca="1">$B27 &amp; " " &amp; VLOOKUP($E27, sql_type[#All], '&lt;SQL&gt; '!$E$3, FALSE )&amp; " " &amp; IFERROR( IF($K27="", VLOOKUP(K27, sql_notnull[#All], '&lt;SQL&gt; '!$E$3, FALSE ), VLOOKUP($K27, sql_pk[], '&lt;SQL&gt; '!$E$3, FALSE ) ), "" ) &amp; ", -- "  &amp;$D27</f>
        <v>key_cat_type INTEGER , -- 対応する大分類key_cat_type</v>
      </c>
      <c r="Q27" s="25"/>
      <c r="R27" s="25"/>
      <c r="S27" s="12">
        <v>-7</v>
      </c>
    </row>
    <row r="28" spans="1:19" x14ac:dyDescent="0.65">
      <c r="B28" s="17" t="s">
        <v>4414</v>
      </c>
      <c r="C28" s="17" t="s">
        <v>4592</v>
      </c>
      <c r="D28" s="24" t="s">
        <v>4592</v>
      </c>
      <c r="E28" s="17" t="s">
        <v>24</v>
      </c>
      <c r="F28" s="17"/>
      <c r="G28" s="17" t="str">
        <f>VLOOKUP($E28, sql_type[#All], '&lt;SQL&gt; '!$E$3, FALSE )</f>
        <v>TEXT</v>
      </c>
      <c r="H28" s="17"/>
      <c r="I28" s="17"/>
      <c r="J28" s="17" t="s">
        <v>19</v>
      </c>
      <c r="K28" s="17"/>
      <c r="L28" s="17"/>
      <c r="M28" s="25" t="str" cm="1">
        <f t="array" aca="1" ref="M28" ca="1">"ITM_"&amp;UPPER(RIGHT(OFFSET(D28,S28,0),LEN(OFFSET(D28,S28,0))-4))&amp;"_"&amp;_xlfn.IFNA(_xlfn.IFS(K28="Y","PKEY",L28="Y","F"&amp;UPPER(B28)),UPPER(B28))</f>
        <v>ITM_CAT_MAJOR_PATH</v>
      </c>
      <c r="N28" s="25" t="str">
        <f ca="1">M28&amp;","&amp;B28&amp;","&amp;OFFSET(G28,0,VLOOKUP($C$5,SQL[#All],2,FALSE) ) &amp;", -- "&amp;D28</f>
        <v>ITM_CAT_MAJOR_PATH,path,TEXT, -- 保存先フォルダのパス</v>
      </c>
      <c r="O28" s="25" t="str">
        <f t="shared" ca="1" si="1"/>
        <v>KEY_ITM_CAT_MAJOR_PATH                      : Final[str] = "ITM_CAT_MAJOR_PATH"                     # 保存先フォルダのパス</v>
      </c>
      <c r="P28" s="25"/>
      <c r="Q28" s="25"/>
      <c r="R28" s="25"/>
      <c r="S28" s="12">
        <v>-8</v>
      </c>
    </row>
    <row r="29" spans="1:19" x14ac:dyDescent="0.65">
      <c r="B29" s="17"/>
      <c r="C29" s="17"/>
      <c r="D29" s="24"/>
      <c r="E29" s="17"/>
      <c r="F29" s="17"/>
      <c r="G29" s="17"/>
      <c r="H29" s="17"/>
      <c r="I29" s="17"/>
      <c r="J29" s="17"/>
      <c r="K29" s="25"/>
      <c r="L29" s="25"/>
      <c r="M29" s="25"/>
      <c r="N29" s="25"/>
      <c r="O29" s="25"/>
      <c r="P29" s="25"/>
      <c r="Q29" s="25"/>
      <c r="R29" s="25"/>
      <c r="S29" s="12">
        <v>-9</v>
      </c>
    </row>
    <row r="31" spans="1:19" x14ac:dyDescent="0.65">
      <c r="A31" s="12" t="s">
        <v>38</v>
      </c>
    </row>
    <row r="32" spans="1:19" x14ac:dyDescent="0.65">
      <c r="B32" s="15" t="s">
        <v>2</v>
      </c>
      <c r="C32" s="16" t="s">
        <v>3</v>
      </c>
      <c r="D32" s="17" t="s">
        <v>4401</v>
      </c>
      <c r="N32" s="25" t="str">
        <f>UPPER( D32 ) &amp; "," &amp;D32 &amp; ",,"</f>
        <v>TBL_CAT_SUB,tbl_cat_sub,,</v>
      </c>
      <c r="O32" s="25" t="str">
        <f>LEFT( LEFT("KEY_"&amp;UPPER(D32)&amp;REPT(" ",$O$6),$O$6) &amp; ": Final[str] = """&amp;UPPER(D32)&amp;"""" &amp; REPT(" ",$O$5),$O$5 ) &amp; "# " &amp;D33</f>
        <v>KEY_TBL_CAT_SUB                             : Final[str] = "TBL_CAT_SUB"                            # 基準小分類テーブル</v>
      </c>
    </row>
    <row r="33" spans="1:19" x14ac:dyDescent="0.65">
      <c r="B33" s="18"/>
      <c r="C33" s="19" t="s">
        <v>4</v>
      </c>
      <c r="D33" s="17" t="s">
        <v>39</v>
      </c>
    </row>
    <row r="34" spans="1:19" x14ac:dyDescent="0.65">
      <c r="B34" s="20" t="s">
        <v>6</v>
      </c>
      <c r="C34" s="20"/>
      <c r="D34" s="21"/>
      <c r="E34" s="20" t="s">
        <v>7</v>
      </c>
      <c r="F34" s="20"/>
      <c r="G34" s="20"/>
      <c r="H34" s="20"/>
      <c r="I34" s="20"/>
      <c r="J34" s="20" t="s">
        <v>8</v>
      </c>
      <c r="K34" s="20"/>
      <c r="L34" s="20"/>
      <c r="M34" s="20"/>
      <c r="N34" s="20" t="s">
        <v>4514</v>
      </c>
      <c r="O34" s="20"/>
      <c r="P34" s="20"/>
      <c r="Q34" s="20"/>
      <c r="R34" s="20"/>
    </row>
    <row r="35" spans="1:19" x14ac:dyDescent="0.65">
      <c r="B35" s="22" t="s">
        <v>9</v>
      </c>
      <c r="C35" s="22" t="s">
        <v>4</v>
      </c>
      <c r="D35" s="23" t="s">
        <v>10</v>
      </c>
      <c r="E35" s="22" t="s">
        <v>11</v>
      </c>
      <c r="F35" s="22" t="s">
        <v>12</v>
      </c>
      <c r="G35" s="22" t="s">
        <v>4512</v>
      </c>
      <c r="H35" s="22" t="s">
        <v>4515</v>
      </c>
      <c r="I35" s="22" t="s">
        <v>4517</v>
      </c>
      <c r="J35" s="22" t="s">
        <v>13</v>
      </c>
      <c r="K35" s="22" t="s">
        <v>14</v>
      </c>
      <c r="L35" s="22" t="s">
        <v>15</v>
      </c>
      <c r="M35" s="22"/>
      <c r="N35" s="22" t="s">
        <v>4665</v>
      </c>
      <c r="O35" s="22"/>
      <c r="P35" s="22" t="s">
        <v>4513</v>
      </c>
      <c r="Q35" s="22" t="s">
        <v>4516</v>
      </c>
      <c r="R35" s="22" t="s">
        <v>4518</v>
      </c>
    </row>
    <row r="36" spans="1:19" x14ac:dyDescent="0.65">
      <c r="B36" s="17" t="str">
        <f ca="1">OFFSET( tbl_cat_sub[[#Headers],[key_cat_sub]], 0, ROWS( $A$36:A36 )-1 )</f>
        <v>key_cat_sub</v>
      </c>
      <c r="C36" s="17" t="s">
        <v>4594</v>
      </c>
      <c r="D36" s="24" t="s">
        <v>4594</v>
      </c>
      <c r="E36" s="17" t="s">
        <v>18</v>
      </c>
      <c r="F36" s="17">
        <v>4</v>
      </c>
      <c r="G36" s="17" t="str">
        <f>VLOOKUP($E36, sql_type[#All], '&lt;SQL&gt; '!$E$3, FALSE )</f>
        <v>INTEGER</v>
      </c>
      <c r="H36" s="17"/>
      <c r="I36" s="17">
        <v>4</v>
      </c>
      <c r="J36" s="17" t="s">
        <v>19</v>
      </c>
      <c r="K36" s="17" t="s">
        <v>19</v>
      </c>
      <c r="L36" s="25"/>
      <c r="M36" s="25" t="str" cm="1">
        <f t="array" aca="1" ref="M36" ca="1">"ITM_"&amp;UPPER(RIGHT(OFFSET(D36,S36,0),LEN(OFFSET(D36,S36,0))-4))&amp;"_"&amp;_xlfn.IFNA(_xlfn.IFS(K36="Y","PKEY",L36="Y","F"&amp;UPPER(B36)),UPPER(B36))</f>
        <v>ITM_CAT_SUB_PKEY</v>
      </c>
      <c r="N36" s="25" t="str">
        <f ca="1">M36&amp;","&amp;B36&amp;","&amp;OFFSET(G36,0,VLOOKUP($C$5,SQL[#All],2,FALSE) ) &amp;", -- "&amp;D36</f>
        <v>ITM_CAT_SUB_PKEY,key_cat_sub,INTEGER, -- 小分類キー</v>
      </c>
      <c r="O36" s="25" t="str">
        <f t="shared" ref="O36:O40" ca="1" si="2">LEFT(LEFT("KEY_"&amp;M36&amp;REPT(" ",$O$6),$O$6)&amp;": Final[str] = """&amp;M36&amp;""""&amp;REPT(" ",$O$5),$O$5)&amp;"# "&amp;D36</f>
        <v>KEY_ITM_CAT_SUB_PKEY                        : Final[str] = "ITM_CAT_SUB_PKEY"                       # 小分類キー</v>
      </c>
      <c r="P36" s="25" t="str">
        <f ca="1">$B36 &amp; " " &amp; VLOOKUP($E36, sql_type[#All], '&lt;SQL&gt; '!$E$3, FALSE )&amp; " " &amp; IFERROR( IF($K36="", VLOOKUP(K36, sql_notnull[#All], '&lt;SQL&gt; '!$E$3, FALSE ), VLOOKUP($K36, sql_pk[], '&lt;SQL&gt; '!$E$3, FALSE ) ), "" ) &amp; ", -- "  &amp;$D36</f>
        <v>key_cat_sub INTEGER PRIMARY KEY, -- 小分類キー</v>
      </c>
      <c r="Q36" s="25"/>
      <c r="R36" s="25"/>
      <c r="S36" s="12">
        <v>-4</v>
      </c>
    </row>
    <row r="37" spans="1:19" x14ac:dyDescent="0.65">
      <c r="B37" s="17" t="str">
        <f ca="1">OFFSET( tbl_cat_sub[[#Headers],[key_cat_sub]], 0, ROWS( $A$36:A37 )-1 )</f>
        <v>title_jp</v>
      </c>
      <c r="C37" s="17" t="s">
        <v>4596</v>
      </c>
      <c r="D37" s="24" t="s">
        <v>4596</v>
      </c>
      <c r="E37" s="17" t="s">
        <v>21</v>
      </c>
      <c r="F37" s="17">
        <v>100</v>
      </c>
      <c r="G37" s="17" t="str">
        <f>VLOOKUP($E37, sql_type[#All], '&lt;SQL&gt; '!$E$3, FALSE )</f>
        <v>TEXT</v>
      </c>
      <c r="H37" s="17"/>
      <c r="I37" s="17">
        <v>100</v>
      </c>
      <c r="J37" s="17" t="s">
        <v>19</v>
      </c>
      <c r="K37" s="17"/>
      <c r="L37" s="25"/>
      <c r="M37" s="25" t="str" cm="1">
        <f t="array" aca="1" ref="M37" ca="1">"ITM_"&amp;UPPER(RIGHT(OFFSET(D37,S37,0),LEN(OFFSET(D37,S37,0))-4))&amp;"_"&amp;_xlfn.IFNA(_xlfn.IFS(K37="Y","PKEY",L37="Y","F"&amp;UPPER(B37)),UPPER(B37))</f>
        <v>ITM_CAT_SUB_TITLE_JP</v>
      </c>
      <c r="N37" s="25" t="str">
        <f ca="1">M37&amp;","&amp;B37&amp;","&amp;OFFSET(G37,0,VLOOKUP($C$5,SQL[#All],2,FALSE) ) &amp;", -- "&amp;D37</f>
        <v>ITM_CAT_SUB_TITLE_JP,title_jp,TEXT, -- 日本語名称</v>
      </c>
      <c r="O37" s="25" t="str">
        <f t="shared" ca="1" si="2"/>
        <v>KEY_ITM_CAT_SUB_TITLE_JP                    : Final[str] = "ITM_CAT_SUB_TITLE_JP"                   # 日本語名称</v>
      </c>
      <c r="P37" s="25" t="str">
        <f ca="1">$B37 &amp; " " &amp; VLOOKUP($E37, sql_type[#All], '&lt;SQL&gt; '!$E$3, FALSE )&amp; " " &amp; IFERROR( IF($K37="", VLOOKUP(K37, sql_notnull[#All], '&lt;SQL&gt; '!$E$3, FALSE ), VLOOKUP($K37, sql_pk[], '&lt;SQL&gt; '!$E$3, FALSE ) ), "" ) &amp; ", -- "  &amp;$D37</f>
        <v>title_jp TEXT , -- 日本語名称</v>
      </c>
      <c r="Q37" s="25"/>
      <c r="R37" s="25"/>
      <c r="S37" s="12">
        <v>-5</v>
      </c>
    </row>
    <row r="38" spans="1:19" x14ac:dyDescent="0.65">
      <c r="B38" s="17" t="str">
        <f ca="1">OFFSET( tbl_cat_sub[[#Headers],[key_cat_sub]], 0, ROWS( $A$36:A38 )-1 )</f>
        <v>title_en</v>
      </c>
      <c r="C38" s="17" t="s">
        <v>4595</v>
      </c>
      <c r="D38" s="24" t="s">
        <v>4595</v>
      </c>
      <c r="E38" s="17" t="s">
        <v>21</v>
      </c>
      <c r="F38" s="17">
        <v>100</v>
      </c>
      <c r="G38" s="17" t="str">
        <f>VLOOKUP($E38, sql_type[#All], '&lt;SQL&gt; '!$E$3, FALSE )</f>
        <v>TEXT</v>
      </c>
      <c r="H38" s="17"/>
      <c r="I38" s="17">
        <v>100</v>
      </c>
      <c r="J38" s="17" t="s">
        <v>19</v>
      </c>
      <c r="K38" s="17"/>
      <c r="L38" s="25"/>
      <c r="M38" s="25" t="str" cm="1">
        <f t="array" aca="1" ref="M38" ca="1">"ITM_"&amp;UPPER(RIGHT(OFFSET(D38,S38,0),LEN(OFFSET(D38,S38,0))-4))&amp;"_"&amp;_xlfn.IFNA(_xlfn.IFS(K38="Y","PKEY",L38="Y","F"&amp;UPPER(B38)),UPPER(B38))</f>
        <v>ITM_CAT_SUB_TITLE_EN</v>
      </c>
      <c r="N38" s="25" t="str">
        <f ca="1">M38&amp;","&amp;B38&amp;","&amp;OFFSET(G38,0,VLOOKUP($C$5,SQL[#All],2,FALSE) ) &amp;", -- "&amp;D38</f>
        <v>ITM_CAT_SUB_TITLE_EN,title_en,TEXT, -- 英語名称</v>
      </c>
      <c r="O38" s="25" t="str">
        <f t="shared" ca="1" si="2"/>
        <v>KEY_ITM_CAT_SUB_TITLE_EN                    : Final[str] = "ITM_CAT_SUB_TITLE_EN"                   # 英語名称</v>
      </c>
      <c r="P38" s="25" t="str">
        <f ca="1">$B38 &amp; " " &amp; VLOOKUP($E38, sql_type[#All], '&lt;SQL&gt; '!$E$3, FALSE )&amp; " " &amp; IFERROR( IF($K38="", VLOOKUP(K38, sql_notnull[#All], '&lt;SQL&gt; '!$E$3, FALSE ), VLOOKUP($K38, sql_pk[], '&lt;SQL&gt; '!$E$3, FALSE ) ), "" ) &amp; ", -- "  &amp;$D38</f>
        <v>title_en TEXT , -- 英語名称</v>
      </c>
      <c r="Q38" s="25"/>
      <c r="R38" s="25"/>
      <c r="S38" s="12">
        <v>-6</v>
      </c>
    </row>
    <row r="39" spans="1:19" x14ac:dyDescent="0.65">
      <c r="A39" s="12" t="b">
        <f ca="1">B39=B24</f>
        <v>1</v>
      </c>
      <c r="B39" s="17" t="str">
        <f ca="1">OFFSET( tbl_cat_sub[[#Headers],[key_cat_sub]], 0, ROWS( $A$36:A39 )-1 )</f>
        <v>key_cat_major</v>
      </c>
      <c r="C39" s="17" t="s">
        <v>4613</v>
      </c>
      <c r="D39" s="24" t="s">
        <v>4598</v>
      </c>
      <c r="E39" s="17" t="s">
        <v>18</v>
      </c>
      <c r="F39" s="17">
        <v>4</v>
      </c>
      <c r="G39" s="17" t="str">
        <f>VLOOKUP($E39, sql_type[#All], '&lt;SQL&gt; '!$E$3, FALSE )</f>
        <v>INTEGER</v>
      </c>
      <c r="H39" s="17"/>
      <c r="I39" s="17">
        <v>4</v>
      </c>
      <c r="J39" s="17" t="s">
        <v>19</v>
      </c>
      <c r="K39" s="17"/>
      <c r="L39" s="17" t="s">
        <v>19</v>
      </c>
      <c r="M39" s="25" t="str" cm="1">
        <f t="array" aca="1" ref="M39" ca="1">"ITM_"&amp;UPPER(RIGHT(OFFSET(D39,S39,0),LEN(OFFSET(D39,S39,0))-4))&amp;"_"&amp;_xlfn.IFNA(_xlfn.IFS(K39="Y","PKEY",L39="Y","F"&amp;UPPER(B39)),UPPER(B39))</f>
        <v>ITM_CAT_SUB_FKEY_CAT_MAJOR</v>
      </c>
      <c r="N39" s="25" t="str">
        <f ca="1">M39&amp;","&amp;B39&amp;","&amp;OFFSET(G39,0,VLOOKUP($C$5,SQL[#All],2,FALSE) ) &amp;", -- "&amp;D39</f>
        <v>ITM_CAT_SUB_FKEY_CAT_MAJOR,key_cat_major,INTEGER, -- 対応する中分類key_cat_major</v>
      </c>
      <c r="O39" s="25" t="str">
        <f t="shared" ca="1" si="2"/>
        <v>KEY_ITM_CAT_SUB_FKEY_CAT_MAJOR              : Final[str] = "ITM_CAT_SUB_FKEY_CAT_MAJOR"             # 対応する中分類key_cat_major</v>
      </c>
      <c r="P39" s="25" t="str">
        <f ca="1">$B39 &amp; " " &amp; VLOOKUP($E39, sql_type[#All], '&lt;SQL&gt; '!$E$3, FALSE )&amp; " " &amp; IFERROR( IF($K39="", VLOOKUP(K39, sql_notnull[#All], '&lt;SQL&gt; '!$E$3, FALSE ), VLOOKUP($K39, sql_pk[], '&lt;SQL&gt; '!$E$3, FALSE ) ), "" ) &amp; ", -- "  &amp;$D39</f>
        <v>key_cat_major INTEGER , -- 対応する中分類key_cat_major</v>
      </c>
      <c r="Q39" s="25"/>
      <c r="R39" s="25"/>
      <c r="S39" s="12">
        <v>-7</v>
      </c>
    </row>
    <row r="40" spans="1:19" x14ac:dyDescent="0.65">
      <c r="B40" s="17" t="s">
        <v>4414</v>
      </c>
      <c r="C40" s="17" t="s">
        <v>4592</v>
      </c>
      <c r="D40" s="24" t="s">
        <v>4592</v>
      </c>
      <c r="E40" s="17" t="s">
        <v>24</v>
      </c>
      <c r="F40" s="17"/>
      <c r="G40" s="17" t="str">
        <f>VLOOKUP($E40, sql_type[#All], '&lt;SQL&gt; '!$E$3, FALSE )</f>
        <v>TEXT</v>
      </c>
      <c r="H40" s="17"/>
      <c r="I40" s="17"/>
      <c r="J40" s="17" t="s">
        <v>19</v>
      </c>
      <c r="K40" s="17"/>
      <c r="L40" s="17"/>
      <c r="M40" s="25" t="str" cm="1">
        <f t="array" aca="1" ref="M40" ca="1">"ITM_"&amp;UPPER(RIGHT(OFFSET(D40,S40,0),LEN(OFFSET(D40,S40,0))-4))&amp;"_"&amp;_xlfn.IFNA(_xlfn.IFS(K40="Y","PKEY",L40="Y","F"&amp;UPPER(B40)),UPPER(B40))</f>
        <v>ITM_CAT_SUB_PATH</v>
      </c>
      <c r="N40" s="25" t="str">
        <f ca="1">M40&amp;","&amp;B40&amp;","&amp;OFFSET(G40,0,VLOOKUP($C$5,SQL[#All],2,FALSE) ) &amp;", -- "&amp;D40</f>
        <v>ITM_CAT_SUB_PATH,path,TEXT, -- 保存先フォルダのパス</v>
      </c>
      <c r="O40" s="25" t="str">
        <f t="shared" ca="1" si="2"/>
        <v>KEY_ITM_CAT_SUB_PATH                        : Final[str] = "ITM_CAT_SUB_PATH"                       # 保存先フォルダのパス</v>
      </c>
      <c r="P40" s="25" t="str">
        <f>$B40 &amp; " " &amp; VLOOKUP($E40, sql_type[#All], '&lt;SQL&gt; '!$E$3, FALSE )&amp; " " &amp; IFERROR( IF($K40="", VLOOKUP(K40, sql_notnull[#All], '&lt;SQL&gt; '!$E$3, FALSE ), VLOOKUP($K40, sql_pk[], '&lt;SQL&gt; '!$E$3, FALSE ) ), "" ) &amp; ", -- "  &amp;$D40</f>
        <v>path TEXT , -- 保存先フォルダのパス</v>
      </c>
      <c r="Q40" s="25"/>
      <c r="R40" s="25"/>
      <c r="S40" s="12">
        <v>-8</v>
      </c>
    </row>
    <row r="41" spans="1:19" x14ac:dyDescent="0.65">
      <c r="B41" s="17"/>
      <c r="C41" s="17"/>
      <c r="D41" s="24"/>
      <c r="E41" s="17"/>
      <c r="F41" s="17"/>
      <c r="G41" s="17"/>
      <c r="H41" s="17"/>
      <c r="I41" s="17"/>
      <c r="J41" s="17"/>
      <c r="K41" s="25"/>
      <c r="L41" s="25"/>
      <c r="M41" s="25"/>
      <c r="N41" s="25"/>
      <c r="O41" s="25"/>
      <c r="P41" s="25"/>
      <c r="Q41" s="25"/>
      <c r="R41" s="25"/>
      <c r="S41" s="12">
        <v>-9</v>
      </c>
    </row>
    <row r="44" spans="1:19" x14ac:dyDescent="0.65">
      <c r="A44" s="12" t="s">
        <v>4402</v>
      </c>
    </row>
    <row r="45" spans="1:19" x14ac:dyDescent="0.65">
      <c r="B45" s="15" t="s">
        <v>2</v>
      </c>
      <c r="C45" s="16" t="s">
        <v>3</v>
      </c>
      <c r="D45" s="17" t="s">
        <v>4403</v>
      </c>
      <c r="N45" s="25" t="str">
        <f>UPPER( D45 ) &amp; "," &amp;D45 &amp; ",,"</f>
        <v>TBL_CAT_STATE,tbl_cat_state,,</v>
      </c>
      <c r="O45" s="25" t="str">
        <f>LEFT( LEFT("KEY_"&amp;UPPER(D45)&amp;REPT(" ",$O$6),$O$6) &amp; ": Final[str] = """&amp;UPPER(D45)&amp;"""" &amp; REPT(" ",$O$5),$O$5 ) &amp; "# " &amp;D46</f>
        <v>KEY_TBL_CAT_STATE                           : Final[str] = "TBL_CAT_STATE"                          # 基準小分類テーブル</v>
      </c>
    </row>
    <row r="46" spans="1:19" x14ac:dyDescent="0.65">
      <c r="B46" s="18"/>
      <c r="C46" s="19" t="s">
        <v>4</v>
      </c>
      <c r="D46" s="17" t="s">
        <v>39</v>
      </c>
    </row>
    <row r="47" spans="1:19" x14ac:dyDescent="0.65">
      <c r="B47" s="20" t="s">
        <v>6</v>
      </c>
      <c r="C47" s="20"/>
      <c r="D47" s="21"/>
      <c r="E47" s="20" t="s">
        <v>7</v>
      </c>
      <c r="F47" s="20"/>
      <c r="G47" s="20"/>
      <c r="H47" s="20"/>
      <c r="I47" s="20"/>
      <c r="J47" s="20" t="s">
        <v>8</v>
      </c>
      <c r="K47" s="20"/>
      <c r="L47" s="20"/>
      <c r="M47" s="20"/>
      <c r="N47" s="20" t="s">
        <v>4514</v>
      </c>
      <c r="O47" s="20"/>
      <c r="P47" s="20"/>
      <c r="Q47" s="20"/>
      <c r="R47" s="20"/>
    </row>
    <row r="48" spans="1:19" x14ac:dyDescent="0.65">
      <c r="B48" s="22" t="s">
        <v>9</v>
      </c>
      <c r="C48" s="22" t="s">
        <v>4</v>
      </c>
      <c r="D48" s="23" t="s">
        <v>10</v>
      </c>
      <c r="E48" s="22" t="s">
        <v>11</v>
      </c>
      <c r="F48" s="22" t="s">
        <v>12</v>
      </c>
      <c r="G48" s="22" t="s">
        <v>4512</v>
      </c>
      <c r="H48" s="22" t="s">
        <v>4515</v>
      </c>
      <c r="I48" s="22" t="s">
        <v>4517</v>
      </c>
      <c r="J48" s="22" t="s">
        <v>13</v>
      </c>
      <c r="K48" s="22" t="s">
        <v>14</v>
      </c>
      <c r="L48" s="22" t="s">
        <v>15</v>
      </c>
      <c r="M48" s="22"/>
      <c r="N48" s="22" t="s">
        <v>4665</v>
      </c>
      <c r="O48" s="22"/>
      <c r="P48" s="22" t="s">
        <v>4513</v>
      </c>
      <c r="Q48" s="22" t="s">
        <v>4516</v>
      </c>
      <c r="R48" s="22" t="s">
        <v>4518</v>
      </c>
    </row>
    <row r="49" spans="1:19" x14ac:dyDescent="0.65">
      <c r="B49" s="17" t="str">
        <f ca="1">OFFSET( tbl_cat_state[[#Headers],[key_cat_state]], 0, ROWS( $A$49:A49 )-1 )</f>
        <v>key_cat_state</v>
      </c>
      <c r="C49" s="17" t="s">
        <v>17</v>
      </c>
      <c r="D49" s="24" t="s">
        <v>4600</v>
      </c>
      <c r="E49" s="17" t="s">
        <v>25</v>
      </c>
      <c r="F49" s="17">
        <v>1</v>
      </c>
      <c r="G49" s="17" t="str">
        <f>VLOOKUP($E49, sql_type[#All], '&lt;SQL&gt; '!$E$3, FALSE )</f>
        <v>INTEGER</v>
      </c>
      <c r="H49" s="17"/>
      <c r="I49" s="17">
        <v>1</v>
      </c>
      <c r="J49" s="17" t="s">
        <v>19</v>
      </c>
      <c r="K49" s="17" t="s">
        <v>19</v>
      </c>
      <c r="L49" s="25"/>
      <c r="M49" s="25" t="str" cm="1">
        <f t="array" aca="1" ref="M49" ca="1">"ITM_"&amp;UPPER(RIGHT(OFFSET(D49,S49,0),LEN(OFFSET(D49,S49,0))-4))&amp;"_"&amp;_xlfn.IFNA(_xlfn.IFS(K49="Y","PKEY",L49="Y","F"&amp;UPPER(B49)),UPPER(B49))</f>
        <v>ITM_CAT_STATE_PKEY</v>
      </c>
      <c r="N49" s="25" t="str">
        <f ca="1">M49&amp;","&amp;B49&amp;","&amp;OFFSET(G49,0,VLOOKUP($C$5,SQL[#All],2,FALSE) ) &amp;", -- "&amp;D49</f>
        <v>ITM_CAT_STATE_PKEY,key_cat_state,INTEGER, -- 状態ID（0:作成中 1:制定版 2:廃止）</v>
      </c>
      <c r="O49" s="25" t="str">
        <f t="shared" ref="O49:O51" ca="1" si="3">LEFT(LEFT("KEY_"&amp;M49&amp;REPT(" ",$O$6),$O$6)&amp;": Final[str] = """&amp;M49&amp;""""&amp;REPT(" ",$O$5),$O$5)&amp;"# "&amp;D49</f>
        <v>KEY_ITM_CAT_STATE_PKEY                      : Final[str] = "ITM_CAT_STATE_PKEY"                     # 状態ID（0:作成中 1:制定版 2:廃止）</v>
      </c>
      <c r="P49" s="25" t="str">
        <f ca="1">$B49 &amp; " " &amp; VLOOKUP($E49, sql_type[#All], '&lt;SQL&gt; '!$E$3, FALSE )&amp; " " &amp; IFERROR( IF($K49="", VLOOKUP(K49, sql_notnull[#All], '&lt;SQL&gt; '!$E$3, FALSE ), VLOOKUP($K49, sql_pk[], '&lt;SQL&gt; '!$E$3, FALSE ) ), "" ) &amp; ", -- "  &amp;$D49</f>
        <v>key_cat_state INTEGER PRIMARY KEY, -- 状態ID（0:作成中 1:制定版 2:廃止）</v>
      </c>
      <c r="Q49" s="25"/>
      <c r="R49" s="25"/>
      <c r="S49" s="12">
        <v>-4</v>
      </c>
    </row>
    <row r="50" spans="1:19" x14ac:dyDescent="0.65">
      <c r="B50" s="17" t="str">
        <f ca="1">OFFSET( tbl_cat_state[[#Headers],[key_cat_state]], 0, ROWS( $A$49:A50 )-1 )</f>
        <v>title_jp</v>
      </c>
      <c r="C50" s="17" t="s">
        <v>33</v>
      </c>
      <c r="D50" s="24" t="s">
        <v>4596</v>
      </c>
      <c r="E50" s="17" t="s">
        <v>21</v>
      </c>
      <c r="F50" s="17">
        <v>20</v>
      </c>
      <c r="G50" s="17" t="str">
        <f>VLOOKUP($E50, sql_type[#All], '&lt;SQL&gt; '!$E$3, FALSE )</f>
        <v>TEXT</v>
      </c>
      <c r="H50" s="17"/>
      <c r="I50" s="17">
        <v>20</v>
      </c>
      <c r="J50" s="17" t="s">
        <v>19</v>
      </c>
      <c r="K50" s="17"/>
      <c r="L50" s="25"/>
      <c r="M50" s="25" t="str" cm="1">
        <f t="array" aca="1" ref="M50" ca="1">"ITM_"&amp;UPPER(RIGHT(OFFSET(D50,S50,0),LEN(OFFSET(D50,S50,0))-4))&amp;"_"&amp;_xlfn.IFNA(_xlfn.IFS(K50="Y","PKEY",L50="Y","F"&amp;UPPER(B50)),UPPER(B50))</f>
        <v>ITM_CAT_STATE_TITLE_JP</v>
      </c>
      <c r="N50" s="25" t="str">
        <f ca="1">M50&amp;","&amp;B50&amp;","&amp;OFFSET(G50,0,VLOOKUP($C$5,SQL[#All],2,FALSE) ) &amp;", -- "&amp;D50</f>
        <v>ITM_CAT_STATE_TITLE_JP,title_jp,TEXT, -- 日本語名称</v>
      </c>
      <c r="O50" s="25" t="str">
        <f t="shared" ca="1" si="3"/>
        <v>KEY_ITM_CAT_STATE_TITLE_JP                  : Final[str] = "ITM_CAT_STATE_TITLE_JP"                 # 日本語名称</v>
      </c>
      <c r="P50" s="25" t="str">
        <f ca="1">$B50 &amp; " " &amp; VLOOKUP($E50, sql_type[#All], '&lt;SQL&gt; '!$E$3, FALSE )&amp; " " &amp; IFERROR( IF($K50="", VLOOKUP(K50, sql_notnull[#All], '&lt;SQL&gt; '!$E$3, FALSE ), VLOOKUP($K50, sql_pk[], '&lt;SQL&gt; '!$E$3, FALSE ) ), "" ) &amp; ", -- "  &amp;$D50</f>
        <v>title_jp TEXT , -- 日本語名称</v>
      </c>
      <c r="Q50" s="25"/>
      <c r="R50" s="25"/>
      <c r="S50" s="12">
        <v>-5</v>
      </c>
    </row>
    <row r="51" spans="1:19" x14ac:dyDescent="0.65">
      <c r="B51" s="17" t="str">
        <f ca="1">OFFSET( tbl_cat_state[[#Headers],[key_cat_state]], 0, ROWS( $A$49:A51 )-1 )</f>
        <v>title_en</v>
      </c>
      <c r="C51" s="17" t="s">
        <v>33</v>
      </c>
      <c r="D51" s="24" t="s">
        <v>4595</v>
      </c>
      <c r="E51" s="17" t="s">
        <v>21</v>
      </c>
      <c r="F51" s="17">
        <v>20</v>
      </c>
      <c r="G51" s="17" t="str">
        <f>VLOOKUP($E51, sql_type[#All], '&lt;SQL&gt; '!$E$3, FALSE )</f>
        <v>TEXT</v>
      </c>
      <c r="H51" s="17"/>
      <c r="I51" s="17">
        <v>20</v>
      </c>
      <c r="J51" s="17" t="s">
        <v>19</v>
      </c>
      <c r="K51" s="17"/>
      <c r="L51" s="25"/>
      <c r="M51" s="25" t="str" cm="1">
        <f t="array" aca="1" ref="M51" ca="1">"ITM_"&amp;UPPER(RIGHT(OFFSET(D51,S51,0),LEN(OFFSET(D51,S51,0))-4))&amp;"_"&amp;_xlfn.IFNA(_xlfn.IFS(K51="Y","PKEY",L51="Y","F"&amp;UPPER(B51)),UPPER(B51))</f>
        <v>ITM_CAT_STATE_TITLE_EN</v>
      </c>
      <c r="N51" s="25" t="str">
        <f ca="1">M51&amp;","&amp;B51&amp;","&amp;OFFSET(G51,0,VLOOKUP($C$5,SQL[#All],2,FALSE) ) &amp;", -- "&amp;D51</f>
        <v>ITM_CAT_STATE_TITLE_EN,title_en,TEXT, -- 英語名称</v>
      </c>
      <c r="O51" s="25" t="str">
        <f t="shared" ca="1" si="3"/>
        <v>KEY_ITM_CAT_STATE_TITLE_EN                  : Final[str] = "ITM_CAT_STATE_TITLE_EN"                 # 英語名称</v>
      </c>
      <c r="P51" s="25" t="str">
        <f ca="1">$B51 &amp; " " &amp; VLOOKUP($E51, sql_type[#All], '&lt;SQL&gt; '!$E$3, FALSE )&amp; " " &amp; IFERROR( IF($K51="", VLOOKUP(K51, sql_notnull[#All], '&lt;SQL&gt; '!$E$3, FALSE ), VLOOKUP($K51, sql_pk[], '&lt;SQL&gt; '!$E$3, FALSE ) ), "" ) &amp; ", -- "  &amp;$D51</f>
        <v>title_en TEXT , -- 英語名称</v>
      </c>
      <c r="Q51" s="25"/>
      <c r="R51" s="25"/>
      <c r="S51" s="12">
        <v>-6</v>
      </c>
    </row>
    <row r="52" spans="1:19" x14ac:dyDescent="0.65">
      <c r="B52" s="17"/>
      <c r="C52" s="17"/>
      <c r="D52" s="24"/>
      <c r="E52" s="17"/>
      <c r="F52" s="17"/>
      <c r="G52" s="17"/>
      <c r="H52" s="17"/>
      <c r="I52" s="17"/>
      <c r="J52" s="17"/>
      <c r="K52" s="25"/>
      <c r="L52" s="25"/>
      <c r="M52" s="25"/>
      <c r="N52" s="25"/>
      <c r="O52" s="25"/>
      <c r="P52" s="25"/>
      <c r="Q52" s="25"/>
      <c r="R52" s="25"/>
    </row>
    <row r="54" spans="1:19" x14ac:dyDescent="0.65">
      <c r="A54" s="12" t="s">
        <v>1</v>
      </c>
    </row>
    <row r="55" spans="1:19" x14ac:dyDescent="0.65">
      <c r="B55" s="15" t="s">
        <v>2</v>
      </c>
      <c r="C55" s="16" t="s">
        <v>3</v>
      </c>
      <c r="D55" s="17" t="s">
        <v>4398</v>
      </c>
      <c r="N55" s="25" t="str">
        <f>UPPER( D55 ) &amp; "," &amp;D55 &amp; ",,"</f>
        <v>TBL_RULES,tbl_rules,,</v>
      </c>
      <c r="O55" s="25" t="str">
        <f>LEFT( LEFT("KEY_"&amp;UPPER(D55)&amp;REPT(" ",$O$6),$O$6) &amp; ": Final[str] = """&amp;UPPER(D55)&amp;"""" &amp; REPT(" ",$O$5),$O$5 ) &amp; "# " &amp;D56</f>
        <v>KEY_TBL_RULES                               : Final[str] = "TBL_RULES"                              # 基準類テーブル</v>
      </c>
    </row>
    <row r="56" spans="1:19" x14ac:dyDescent="0.65">
      <c r="B56" s="18"/>
      <c r="C56" s="19" t="s">
        <v>4</v>
      </c>
      <c r="D56" s="17" t="s">
        <v>5</v>
      </c>
    </row>
    <row r="57" spans="1:19" x14ac:dyDescent="0.65">
      <c r="B57" s="20" t="s">
        <v>6</v>
      </c>
      <c r="C57" s="20"/>
      <c r="D57" s="21"/>
      <c r="E57" s="20" t="s">
        <v>7</v>
      </c>
      <c r="F57" s="20"/>
      <c r="G57" s="20"/>
      <c r="H57" s="20"/>
      <c r="I57" s="20"/>
      <c r="J57" s="20" t="s">
        <v>8</v>
      </c>
      <c r="K57" s="20"/>
      <c r="L57" s="20"/>
      <c r="M57" s="20"/>
      <c r="N57" s="20" t="s">
        <v>4514</v>
      </c>
      <c r="O57" s="20"/>
      <c r="P57" s="20"/>
      <c r="Q57" s="20"/>
      <c r="R57" s="20"/>
    </row>
    <row r="58" spans="1:19" x14ac:dyDescent="0.65">
      <c r="B58" s="22" t="s">
        <v>9</v>
      </c>
      <c r="C58" s="22" t="s">
        <v>4</v>
      </c>
      <c r="D58" s="23" t="s">
        <v>10</v>
      </c>
      <c r="E58" s="22" t="s">
        <v>11</v>
      </c>
      <c r="F58" s="22" t="s">
        <v>12</v>
      </c>
      <c r="G58" s="22" t="s">
        <v>4512</v>
      </c>
      <c r="H58" s="22" t="s">
        <v>4515</v>
      </c>
      <c r="I58" s="22" t="s">
        <v>4517</v>
      </c>
      <c r="J58" s="22" t="s">
        <v>13</v>
      </c>
      <c r="K58" s="22" t="s">
        <v>14</v>
      </c>
      <c r="L58" s="22" t="s">
        <v>15</v>
      </c>
      <c r="M58" s="22"/>
      <c r="N58" s="22" t="s">
        <v>4665</v>
      </c>
      <c r="O58" s="22"/>
      <c r="P58" s="22" t="s">
        <v>4513</v>
      </c>
      <c r="Q58" s="22" t="s">
        <v>4516</v>
      </c>
      <c r="R58" s="22" t="s">
        <v>4518</v>
      </c>
    </row>
    <row r="59" spans="1:19" x14ac:dyDescent="0.65">
      <c r="B59" s="17" t="str">
        <f ca="1">OFFSET( tbl_rules[[#Headers],[key_rule]], 0, ROWS( $A$59:A59 )-1 )</f>
        <v>key_rule</v>
      </c>
      <c r="C59" s="17" t="s">
        <v>17</v>
      </c>
      <c r="D59" s="24" t="s">
        <v>4669</v>
      </c>
      <c r="E59" s="17" t="s">
        <v>18</v>
      </c>
      <c r="F59" s="17">
        <v>4</v>
      </c>
      <c r="G59" s="17" t="str">
        <f>VLOOKUP($E59, sql_type[#All], '&lt;SQL&gt; '!$E$3, FALSE )</f>
        <v>INTEGER</v>
      </c>
      <c r="H59" s="17"/>
      <c r="I59" s="17">
        <v>4</v>
      </c>
      <c r="J59" s="17" t="s">
        <v>19</v>
      </c>
      <c r="K59" s="17" t="s">
        <v>19</v>
      </c>
      <c r="L59" s="25"/>
      <c r="M59" s="25" t="str" cm="1">
        <f t="array" aca="1" ref="M59" ca="1">"ITM_"&amp;UPPER(RIGHT(OFFSET(D59,S59,0),LEN(OFFSET(D59,S59,0))-4))&amp;"_"&amp;_xlfn.IFNA(_xlfn.IFS(K59="Y","PKEY",L59="Y","F"&amp;UPPER(B59)),UPPER(B59))</f>
        <v>ITM_RULES_PKEY</v>
      </c>
      <c r="N59" s="25" t="str">
        <f ca="1">M59&amp;","&amp;B59&amp;","&amp;OFFSET(G59,0,VLOOKUP($C$5,SQL[#All],2,FALSE) ) &amp;", -- "&amp;D59</f>
        <v>ITM_RULES_PKEY,key_rule,INTEGER, -- ルール通し番号</v>
      </c>
      <c r="O59" s="25" t="str">
        <f t="shared" ref="O59:O66" ca="1" si="4">LEFT(LEFT("KEY_"&amp;M59&amp;REPT(" ",$O$6),$O$6)&amp;": Final[str] = """&amp;M59&amp;""""&amp;REPT(" ",$O$5),$O$5)&amp;"# "&amp;D59</f>
        <v>KEY_ITM_RULES_PKEY                          : Final[str] = "ITM_RULES_PKEY"                         # ルール通し番号</v>
      </c>
      <c r="P59" s="25" t="str">
        <f ca="1">$B59 &amp; " " &amp; VLOOKUP($E59, sql_type[#All], '&lt;SQL&gt; '!$E$3, FALSE )&amp; " " &amp; IFERROR( IF($K59="", VLOOKUP(K59, sql_notnull[#All], '&lt;SQL&gt; '!$E$3, FALSE ), VLOOKUP($K59, sql_pk[], '&lt;SQL&gt; '!$E$3, FALSE ) ), "" ) &amp; ", -- "  &amp;$D59</f>
        <v>key_rule INTEGER PRIMARY KEY, -- ルール通し番号</v>
      </c>
      <c r="Q59" s="25"/>
      <c r="R59" s="25"/>
      <c r="S59" s="12">
        <v>-4</v>
      </c>
    </row>
    <row r="60" spans="1:19" x14ac:dyDescent="0.65">
      <c r="B60" s="17" t="str">
        <f ca="1">OFFSET( tbl_rules[[#Headers],[key_rule]], 0, ROWS( $A$59:A60 )-1 )</f>
        <v>id_rule</v>
      </c>
      <c r="C60" s="17" t="s">
        <v>4610</v>
      </c>
      <c r="D60" s="24" t="s">
        <v>4611</v>
      </c>
      <c r="E60" s="17" t="s">
        <v>21</v>
      </c>
      <c r="F60" s="17">
        <v>100</v>
      </c>
      <c r="G60" s="17" t="str">
        <f>VLOOKUP($E60, sql_type[#All], '&lt;SQL&gt; '!$E$3, FALSE )</f>
        <v>TEXT</v>
      </c>
      <c r="H60" s="17"/>
      <c r="I60" s="17">
        <v>100</v>
      </c>
      <c r="J60" s="17" t="s">
        <v>19</v>
      </c>
      <c r="K60" s="17"/>
      <c r="L60" s="25"/>
      <c r="M60" s="25" t="str" cm="1">
        <f t="array" aca="1" ref="M60" ca="1">"ITM_"&amp;UPPER(RIGHT(OFFSET(D60,S60,0),LEN(OFFSET(D60,S60,0))-4))&amp;"_"&amp;_xlfn.IFNA(_xlfn.IFS(K60="Y","PKEY",L60="Y","F"&amp;UPPER(B60)),UPPER(B60))</f>
        <v>ITM_RULES_ID_RULE</v>
      </c>
      <c r="N60" s="25" t="str">
        <f ca="1">M60&amp;","&amp;B60&amp;","&amp;OFFSET(G60,0,VLOOKUP($C$5,SQL[#All],2,FALSE) ) &amp;", -- "&amp;D60</f>
        <v>ITM_RULES_ID_RULE,id_rule,TEXT, -- 文書ID</v>
      </c>
      <c r="O60" s="25" t="str">
        <f t="shared" ca="1" si="4"/>
        <v>KEY_ITM_RULES_ID_RULE                       : Final[str] = "ITM_RULES_ID_RULE"                      # 文書ID</v>
      </c>
      <c r="P60" s="25"/>
      <c r="Q60" s="25"/>
      <c r="R60" s="25"/>
      <c r="S60" s="12">
        <v>-5</v>
      </c>
    </row>
    <row r="61" spans="1:19" x14ac:dyDescent="0.65">
      <c r="B61" s="17" t="str">
        <f ca="1">OFFSET( tbl_rules[[#Headers],[key_rule]], 0, ROWS( $A$59:A61 )-1 )</f>
        <v>name_rule</v>
      </c>
      <c r="C61" s="17" t="s">
        <v>4608</v>
      </c>
      <c r="D61" s="24" t="s">
        <v>4609</v>
      </c>
      <c r="E61" s="17" t="s">
        <v>21</v>
      </c>
      <c r="F61" s="17">
        <v>200</v>
      </c>
      <c r="G61" s="17" t="str">
        <f>VLOOKUP($E61, sql_type[#All], '&lt;SQL&gt; '!$E$3, FALSE )</f>
        <v>TEXT</v>
      </c>
      <c r="H61" s="17"/>
      <c r="I61" s="17">
        <v>200</v>
      </c>
      <c r="J61" s="17" t="s">
        <v>19</v>
      </c>
      <c r="K61" s="17"/>
      <c r="L61" s="25"/>
      <c r="M61" s="25" t="str" cm="1">
        <f t="array" aca="1" ref="M61" ca="1">"ITM_"&amp;UPPER(RIGHT(OFFSET(D61,S61,0),LEN(OFFSET(D61,S61,0))-4))&amp;"_"&amp;_xlfn.IFNA(_xlfn.IFS(K61="Y","PKEY",L61="Y","F"&amp;UPPER(B61)),UPPER(B61))</f>
        <v>ITM_RULES_NAME_RULE</v>
      </c>
      <c r="N61" s="25" t="str">
        <f ca="1">M61&amp;","&amp;B61&amp;","&amp;OFFSET(G61,0,VLOOKUP($C$5,SQL[#All],2,FALSE) ) &amp;", -- "&amp;D61</f>
        <v>ITM_RULES_NAME_RULE,name_rule,TEXT, -- 文書名</v>
      </c>
      <c r="O61" s="25" t="str">
        <f t="shared" ca="1" si="4"/>
        <v>KEY_ITM_RULES_NAME_RULE                     : Final[str] = "ITM_RULES_NAME_RULE"                    # 文書名</v>
      </c>
      <c r="P61" s="25"/>
      <c r="Q61" s="25"/>
      <c r="R61" s="25"/>
      <c r="S61" s="12">
        <v>-6</v>
      </c>
    </row>
    <row r="62" spans="1:19" x14ac:dyDescent="0.65">
      <c r="A62" s="12" t="b">
        <f ca="1">B62=B36</f>
        <v>1</v>
      </c>
      <c r="B62" s="17" t="str">
        <f ca="1">OFFSET( tbl_rules[[#Headers],[key_rule]], 0, ROWS( $A$59:A62 )-1 )</f>
        <v>key_cat_sub</v>
      </c>
      <c r="C62" s="17" t="s">
        <v>4594</v>
      </c>
      <c r="D62" s="24" t="s">
        <v>4599</v>
      </c>
      <c r="E62" s="17" t="s">
        <v>18</v>
      </c>
      <c r="F62" s="17">
        <v>4</v>
      </c>
      <c r="G62" s="17" t="str">
        <f>VLOOKUP($E62, sql_type[#All], '&lt;SQL&gt; '!$E$3, FALSE )</f>
        <v>INTEGER</v>
      </c>
      <c r="H62" s="17"/>
      <c r="I62" s="17">
        <v>4</v>
      </c>
      <c r="J62" s="17" t="s">
        <v>19</v>
      </c>
      <c r="K62" s="17"/>
      <c r="L62" s="17" t="s">
        <v>19</v>
      </c>
      <c r="M62" s="25" t="str" cm="1">
        <f t="array" aca="1" ref="M62" ca="1">"ITM_"&amp;UPPER(RIGHT(OFFSET(D62,S62,0),LEN(OFFSET(D62,S62,0))-4))&amp;"_"&amp;_xlfn.IFNA(_xlfn.IFS(K62="Y","PKEY",L62="Y","F"&amp;UPPER(B62)),UPPER(B62))</f>
        <v>ITM_RULES_FKEY_CAT_SUB</v>
      </c>
      <c r="N62" s="25" t="str">
        <f ca="1">M62&amp;","&amp;B62&amp;","&amp;OFFSET(G62,0,VLOOKUP($C$5,SQL[#All],2,FALSE) ) &amp;", -- "&amp;D62</f>
        <v>ITM_RULES_FKEY_CAT_SUB,key_cat_sub,INTEGER, -- 小分類キー</v>
      </c>
      <c r="O62" s="25" t="str">
        <f t="shared" ca="1" si="4"/>
        <v>KEY_ITM_RULES_FKEY_CAT_SUB                  : Final[str] = "ITM_RULES_FKEY_CAT_SUB"                 # 小分類キー</v>
      </c>
      <c r="P62" s="25"/>
      <c r="Q62" s="25"/>
      <c r="R62" s="25"/>
      <c r="S62" s="12">
        <v>-7</v>
      </c>
    </row>
    <row r="63" spans="1:19" x14ac:dyDescent="0.65">
      <c r="B63" s="17" t="str">
        <f ca="1">OFFSET( tbl_rules[[#Headers],[key_rule]], 0, ROWS( $A$59:A63 )-1 )</f>
        <v>link</v>
      </c>
      <c r="C63" s="17" t="s">
        <v>4590</v>
      </c>
      <c r="D63" s="24" t="s">
        <v>4670</v>
      </c>
      <c r="E63" s="17" t="s">
        <v>24</v>
      </c>
      <c r="F63" s="17"/>
      <c r="G63" s="17" t="str">
        <f>VLOOKUP($E63, sql_type[#All], '&lt;SQL&gt; '!$E$3, FALSE )</f>
        <v>TEXT</v>
      </c>
      <c r="H63" s="17"/>
      <c r="I63" s="17"/>
      <c r="J63" s="17" t="s">
        <v>19</v>
      </c>
      <c r="K63" s="17"/>
      <c r="L63" s="17"/>
      <c r="M63" s="25" t="str" cm="1">
        <f t="array" aca="1" ref="M63" ca="1">"ITM_"&amp;UPPER(RIGHT(OFFSET(D63,S63,0),LEN(OFFSET(D63,S63,0))-4))&amp;"_"&amp;_xlfn.IFNA(_xlfn.IFS(K63="Y","PKEY",L63="Y","F"&amp;UPPER(B63)),UPPER(B63))</f>
        <v>ITM_RULES_LINK</v>
      </c>
      <c r="N63" s="25" t="str">
        <f ca="1">M63&amp;","&amp;B63&amp;","&amp;OFFSET(G63,0,VLOOKUP($C$5,SQL[#All],2,FALSE) ) &amp;", -- "&amp;D63</f>
        <v>ITM_RULES_LINK,link,TEXT, -- 元文書へのURL</v>
      </c>
      <c r="O63" s="25" t="str">
        <f t="shared" ca="1" si="4"/>
        <v>KEY_ITM_RULES_LINK                          : Final[str] = "ITM_RULES_LINK"                         # 元文書へのURL</v>
      </c>
      <c r="P63" s="25"/>
      <c r="Q63" s="25"/>
      <c r="R63" s="25"/>
      <c r="S63" s="12">
        <v>-8</v>
      </c>
    </row>
    <row r="64" spans="1:19" x14ac:dyDescent="0.65">
      <c r="A64" s="12" t="b">
        <f ca="1">B64=B49</f>
        <v>1</v>
      </c>
      <c r="B64" s="17" t="str">
        <f ca="1">OFFSET( tbl_rules[[#Headers],[key_rule]], 0, ROWS( $A$59:A64 )-1 )</f>
        <v>key_cat_state</v>
      </c>
      <c r="C64" s="17" t="s">
        <v>4606</v>
      </c>
      <c r="D64" s="24" t="s">
        <v>4607</v>
      </c>
      <c r="E64" s="17" t="s">
        <v>25</v>
      </c>
      <c r="F64" s="17">
        <v>1</v>
      </c>
      <c r="G64" s="17" t="str">
        <f>VLOOKUP($E64, sql_type[#All], '&lt;SQL&gt; '!$E$3, FALSE )</f>
        <v>INTEGER</v>
      </c>
      <c r="H64" s="17"/>
      <c r="I64" s="17">
        <v>1</v>
      </c>
      <c r="J64" s="17" t="s">
        <v>19</v>
      </c>
      <c r="K64" s="17"/>
      <c r="L64" s="17" t="s">
        <v>19</v>
      </c>
      <c r="M64" s="25" t="str" cm="1">
        <f t="array" aca="1" ref="M64" ca="1">"ITM_"&amp;UPPER(RIGHT(OFFSET(D64,S64,0),LEN(OFFSET(D64,S64,0))-4))&amp;"_"&amp;_xlfn.IFNA(_xlfn.IFS(K64="Y","PKEY",L64="Y","F"&amp;UPPER(B64)),UPPER(B64))</f>
        <v>ITM_RULES_FKEY_CAT_STATE</v>
      </c>
      <c r="N64" s="25" t="str">
        <f ca="1">M64&amp;","&amp;B64&amp;","&amp;OFFSET(G64,0,VLOOKUP($C$5,SQL[#All],2,FALSE) ) &amp;", -- "&amp;D64</f>
        <v>ITM_RULES_FKEY_CAT_STATE,key_cat_state,INTEGER, -- 状態ID</v>
      </c>
      <c r="O64" s="25" t="str">
        <f t="shared" ca="1" si="4"/>
        <v>KEY_ITM_RULES_FKEY_CAT_STATE                : Final[str] = "ITM_RULES_FKEY_CAT_STATE"               # 状態ID</v>
      </c>
      <c r="P64" s="25"/>
      <c r="Q64" s="25"/>
      <c r="R64" s="25"/>
      <c r="S64" s="12">
        <v>-9</v>
      </c>
    </row>
    <row r="65" spans="1:19" x14ac:dyDescent="0.65">
      <c r="B65" s="17" t="str">
        <f ca="1">OFFSET( tbl_rules[[#Headers],[key_rule]], 0, ROWS( $A$59:A65 )-1 )</f>
        <v>created_date</v>
      </c>
      <c r="C65" s="17" t="s">
        <v>4602</v>
      </c>
      <c r="D65" s="24" t="s">
        <v>4603</v>
      </c>
      <c r="E65" s="17" t="s">
        <v>27</v>
      </c>
      <c r="F65" s="17">
        <v>8</v>
      </c>
      <c r="G65" s="17" t="str">
        <f>VLOOKUP($E65, sql_type[#All], '&lt;SQL&gt; '!$E$3, FALSE )</f>
        <v>TEXT</v>
      </c>
      <c r="H65" s="17"/>
      <c r="I65" s="17">
        <v>8</v>
      </c>
      <c r="J65" s="17" t="s">
        <v>28</v>
      </c>
      <c r="K65" s="17"/>
      <c r="L65" s="25"/>
      <c r="M65" s="25" t="str" cm="1">
        <f t="array" aca="1" ref="M65" ca="1">"ITM_"&amp;UPPER(RIGHT(OFFSET(D65,S65,0),LEN(OFFSET(D65,S65,0))-4))&amp;"_"&amp;_xlfn.IFNA(_xlfn.IFS(K65="Y","PKEY",L65="Y","F"&amp;UPPER(B65)),UPPER(B65))</f>
        <v>ITM_RULES_CREATED_DATE</v>
      </c>
      <c r="N65" s="25" t="str">
        <f ca="1">M65&amp;","&amp;B65&amp;","&amp;OFFSET(G65,0,VLOOKUP($C$5,SQL[#All],2,FALSE) ) &amp;", -- "&amp;D65</f>
        <v>ITM_RULES_CREATED_DATE,created_date,TEXT, -- 制定日など</v>
      </c>
      <c r="O65" s="25" t="str">
        <f t="shared" ca="1" si="4"/>
        <v>KEY_ITM_RULES_CREATED_DATE                  : Final[str] = "ITM_RULES_CREATED_DATE"                 # 制定日など</v>
      </c>
      <c r="P65" s="25"/>
      <c r="Q65" s="25"/>
      <c r="R65" s="25"/>
      <c r="S65" s="12">
        <v>-10</v>
      </c>
    </row>
    <row r="66" spans="1:19" x14ac:dyDescent="0.65">
      <c r="B66" s="17" t="str">
        <f ca="1">OFFSET( tbl_rules[[#Headers],[key_rule]], 0, ROWS( $A$59:A66 )-1 )</f>
        <v>update_date</v>
      </c>
      <c r="C66" s="17" t="s">
        <v>4604</v>
      </c>
      <c r="D66" s="24" t="s">
        <v>4605</v>
      </c>
      <c r="E66" s="17" t="s">
        <v>27</v>
      </c>
      <c r="F66" s="17">
        <v>8</v>
      </c>
      <c r="G66" s="17" t="str">
        <f>VLOOKUP($E66, sql_type[#All], '&lt;SQL&gt; '!$E$3, FALSE )</f>
        <v>TEXT</v>
      </c>
      <c r="H66" s="17"/>
      <c r="I66" s="17">
        <v>8</v>
      </c>
      <c r="J66" s="17" t="s">
        <v>28</v>
      </c>
      <c r="K66" s="25"/>
      <c r="L66" s="25"/>
      <c r="M66" s="25" t="str" cm="1">
        <f t="array" aca="1" ref="M66" ca="1">"ITM_"&amp;UPPER(RIGHT(OFFSET(D66,S66,0),LEN(OFFSET(D66,S66,0))-4))&amp;"_"&amp;_xlfn.IFNA(_xlfn.IFS(K66="Y","PKEY",L66="Y","F"&amp;UPPER(B66)),UPPER(B66))</f>
        <v>ITM_RULES_UPDATE_DATE</v>
      </c>
      <c r="N66" s="25" t="str">
        <f ca="1">M66&amp;","&amp;B66&amp;","&amp;OFFSET(G66,0,VLOOKUP($C$5,SQL[#All],2,FALSE) ) &amp;", -- "&amp;D66</f>
        <v>ITM_RULES_UPDATE_DATE,update_date,TEXT, -- 改訂日など</v>
      </c>
      <c r="O66" s="25" t="str">
        <f t="shared" ca="1" si="4"/>
        <v>KEY_ITM_RULES_UPDATE_DATE                   : Final[str] = "ITM_RULES_UPDATE_DATE"                  # 改訂日など</v>
      </c>
      <c r="P66" s="25"/>
      <c r="Q66" s="25"/>
      <c r="R66" s="25"/>
      <c r="S66" s="12">
        <v>-11</v>
      </c>
    </row>
    <row r="67" spans="1:19" x14ac:dyDescent="0.65">
      <c r="B67" s="17"/>
      <c r="C67" s="17"/>
      <c r="D67" s="24"/>
      <c r="E67" s="17"/>
      <c r="F67" s="17"/>
      <c r="G67" s="17"/>
      <c r="H67" s="17"/>
      <c r="I67" s="17"/>
      <c r="J67" s="17"/>
      <c r="K67" s="25"/>
      <c r="L67" s="25"/>
      <c r="M67" s="25"/>
      <c r="N67" s="25"/>
      <c r="O67" s="25"/>
      <c r="P67" s="25"/>
      <c r="Q67" s="25"/>
      <c r="R67" s="25"/>
      <c r="S67" s="12">
        <v>-12</v>
      </c>
    </row>
    <row r="69" spans="1:19" x14ac:dyDescent="0.65">
      <c r="A69" s="12" t="s">
        <v>4629</v>
      </c>
    </row>
    <row r="70" spans="1:19" x14ac:dyDescent="0.65">
      <c r="B70" s="15" t="s">
        <v>2</v>
      </c>
      <c r="C70" s="16" t="s">
        <v>3</v>
      </c>
      <c r="D70" s="17" t="s">
        <v>4641</v>
      </c>
      <c r="N70" s="25" t="str">
        <f>UPPER( D70 ) &amp; "," &amp;D70 &amp; ",,"</f>
        <v>TBL_CAT_REQUEST,tbl_cat_request,,</v>
      </c>
      <c r="O70" s="25" t="str">
        <f>LEFT( LEFT("KEY_"&amp;UPPER(D70)&amp;REPT(" ",$O$6),$O$6) &amp; ": Final[str] = """&amp;UPPER(D70)&amp;"""" &amp; REPT(" ",$O$5),$O$5 ) &amp; "# " &amp;D71</f>
        <v>KEY_TBL_CAT_REQUEST                         : Final[str] = "TBL_CAT_REQUEST"                        # 設計領域テーブル</v>
      </c>
    </row>
    <row r="71" spans="1:19" x14ac:dyDescent="0.65">
      <c r="B71" s="18"/>
      <c r="C71" s="19" t="s">
        <v>4</v>
      </c>
      <c r="D71" s="17" t="s">
        <v>4621</v>
      </c>
    </row>
    <row r="72" spans="1:19" x14ac:dyDescent="0.65">
      <c r="B72" s="20" t="s">
        <v>6</v>
      </c>
      <c r="C72" s="20"/>
      <c r="D72" s="21"/>
      <c r="E72" s="20" t="s">
        <v>7</v>
      </c>
      <c r="F72" s="20"/>
      <c r="G72" s="20"/>
      <c r="H72" s="20"/>
      <c r="I72" s="20"/>
      <c r="J72" s="20" t="s">
        <v>8</v>
      </c>
      <c r="K72" s="20"/>
      <c r="L72" s="20"/>
      <c r="M72" s="20"/>
      <c r="N72" s="20" t="s">
        <v>4514</v>
      </c>
      <c r="O72" s="20"/>
      <c r="P72" s="20"/>
      <c r="Q72" s="20"/>
      <c r="R72" s="20"/>
    </row>
    <row r="73" spans="1:19" x14ac:dyDescent="0.65">
      <c r="B73" s="22" t="s">
        <v>9</v>
      </c>
      <c r="C73" s="22" t="s">
        <v>4</v>
      </c>
      <c r="D73" s="23" t="s">
        <v>10</v>
      </c>
      <c r="E73" s="22" t="s">
        <v>11</v>
      </c>
      <c r="F73" s="22" t="s">
        <v>12</v>
      </c>
      <c r="G73" s="22" t="s">
        <v>4512</v>
      </c>
      <c r="H73" s="22" t="s">
        <v>4515</v>
      </c>
      <c r="I73" s="22" t="s">
        <v>4517</v>
      </c>
      <c r="J73" s="22" t="s">
        <v>13</v>
      </c>
      <c r="K73" s="22" t="s">
        <v>14</v>
      </c>
      <c r="L73" s="22" t="s">
        <v>15</v>
      </c>
      <c r="M73" s="22"/>
      <c r="N73" s="22" t="s">
        <v>4665</v>
      </c>
      <c r="O73" s="22"/>
      <c r="P73" s="22" t="s">
        <v>4513</v>
      </c>
      <c r="Q73" s="22" t="s">
        <v>4516</v>
      </c>
      <c r="R73" s="22" t="s">
        <v>4518</v>
      </c>
    </row>
    <row r="74" spans="1:19" x14ac:dyDescent="0.65">
      <c r="B74" s="17" t="str">
        <f ca="1">OFFSET( tbl_cat_request[[#Headers],[key_cat_request]], 0, ROWS( $A$74:A74 )-1 )</f>
        <v>key_cat_request</v>
      </c>
      <c r="C74" s="17" t="s">
        <v>4624</v>
      </c>
      <c r="D74" s="24" t="s">
        <v>4624</v>
      </c>
      <c r="E74" s="17" t="s">
        <v>18</v>
      </c>
      <c r="F74" s="17">
        <v>4</v>
      </c>
      <c r="G74" s="17" t="str">
        <f>VLOOKUP($E74, sql_type[#All], '&lt;SQL&gt; '!$E$3, FALSE )</f>
        <v>INTEGER</v>
      </c>
      <c r="H74" s="17"/>
      <c r="I74" s="17"/>
      <c r="J74" s="17" t="s">
        <v>19</v>
      </c>
      <c r="K74" s="17" t="s">
        <v>19</v>
      </c>
      <c r="L74" s="25"/>
      <c r="M74" s="25" t="str" cm="1">
        <f t="array" aca="1" ref="M74" ca="1">"ITM_"&amp;UPPER(RIGHT(OFFSET(D74,S74,0),LEN(OFFSET(D74,S74,0))-4))&amp;"_"&amp;_xlfn.IFNA(_xlfn.IFS(K74="Y","PKEY",L74="Y","F"&amp;UPPER(B74)),UPPER(B74))</f>
        <v>ITM_CAT_REQUEST_PKEY</v>
      </c>
      <c r="N74" s="25" t="str">
        <f ca="1">M74&amp;","&amp;B74&amp;","&amp;OFFSET(G74,0,VLOOKUP($C$5,SQL[#All],2,FALSE) ) &amp;", -- "&amp;D74</f>
        <v>ITM_CAT_REQUEST_PKEY,key_cat_request,INTEGER, -- 設計領域ID</v>
      </c>
      <c r="O74" s="25" t="str">
        <f t="shared" ref="O74:O76" ca="1" si="5">LEFT(LEFT("KEY_"&amp;M74&amp;REPT(" ",$O$6),$O$6)&amp;": Final[str] = """&amp;M74&amp;""""&amp;REPT(" ",$O$5),$O$5)&amp;"# "&amp;D74</f>
        <v>KEY_ITM_CAT_REQUEST_PKEY                    : Final[str] = "ITM_CAT_REQUEST_PKEY"                   # 設計領域ID</v>
      </c>
      <c r="P74" s="25" t="str">
        <f ca="1">$B74 &amp; " " &amp; VLOOKUP($E74, sql_type[#All], '&lt;SQL&gt; '!$E$3, FALSE )&amp; " " &amp; IFERROR( IF($K74="", VLOOKUP(K74, sql_notnull[#All], '&lt;SQL&gt; '!$E$3, FALSE ), VLOOKUP($K74, sql_pk[], '&lt;SQL&gt; '!$E$3, FALSE ) ), "" ) &amp; ", -- "  &amp;$D74</f>
        <v>key_cat_request INTEGER PRIMARY KEY, -- 設計領域ID</v>
      </c>
      <c r="Q74" s="25"/>
      <c r="R74" s="25"/>
      <c r="S74" s="12">
        <v>-4</v>
      </c>
    </row>
    <row r="75" spans="1:19" x14ac:dyDescent="0.65">
      <c r="B75" s="17" t="str">
        <f ca="1">OFFSET( tbl_cat_request[[#Headers],[key_cat_request]], 0, ROWS( $A$74:A75 )-1 )</f>
        <v>title_jp</v>
      </c>
      <c r="C75" s="17" t="s">
        <v>4596</v>
      </c>
      <c r="D75" s="24" t="s">
        <v>4596</v>
      </c>
      <c r="E75" s="17" t="s">
        <v>21</v>
      </c>
      <c r="F75" s="17">
        <v>20</v>
      </c>
      <c r="G75" s="17" t="str">
        <f>VLOOKUP($E75, sql_type[#All], '&lt;SQL&gt; '!$E$3, FALSE )</f>
        <v>TEXT</v>
      </c>
      <c r="H75" s="17"/>
      <c r="I75" s="17"/>
      <c r="J75" s="17" t="s">
        <v>19</v>
      </c>
      <c r="K75" s="17"/>
      <c r="L75" s="25"/>
      <c r="M75" s="25" t="str" cm="1">
        <f t="array" aca="1" ref="M75" ca="1">"ITM_"&amp;UPPER(RIGHT(OFFSET(D75,S75,0),LEN(OFFSET(D75,S75,0))-4))&amp;"_"&amp;_xlfn.IFNA(_xlfn.IFS(K75="Y","PKEY",L75="Y","F"&amp;UPPER(B75)),UPPER(B75))</f>
        <v>ITM_CAT_REQUEST_TITLE_JP</v>
      </c>
      <c r="N75" s="25" t="str">
        <f ca="1">M75&amp;","&amp;B75&amp;","&amp;OFFSET(G75,0,VLOOKUP($C$5,SQL[#All],2,FALSE) ) &amp;", -- "&amp;D75</f>
        <v>ITM_CAT_REQUEST_TITLE_JP,title_jp,TEXT, -- 日本語名称</v>
      </c>
      <c r="O75" s="25" t="str">
        <f t="shared" ca="1" si="5"/>
        <v>KEY_ITM_CAT_REQUEST_TITLE_JP                : Final[str] = "ITM_CAT_REQUEST_TITLE_JP"               # 日本語名称</v>
      </c>
      <c r="P75" s="25"/>
      <c r="Q75" s="25"/>
      <c r="R75" s="25"/>
      <c r="S75" s="12">
        <v>-5</v>
      </c>
    </row>
    <row r="76" spans="1:19" x14ac:dyDescent="0.65">
      <c r="B76" s="17" t="str">
        <f ca="1">OFFSET( tbl_cat_request[[#Headers],[key_cat_request]], 0, ROWS( $A$74:A76 )-1 )</f>
        <v>title_en</v>
      </c>
      <c r="C76" s="17" t="s">
        <v>4595</v>
      </c>
      <c r="D76" s="24" t="s">
        <v>4595</v>
      </c>
      <c r="E76" s="17" t="s">
        <v>21</v>
      </c>
      <c r="F76" s="17">
        <v>20</v>
      </c>
      <c r="G76" s="17" t="str">
        <f>VLOOKUP($E76, sql_type[#All], '&lt;SQL&gt; '!$E$3, FALSE )</f>
        <v>TEXT</v>
      </c>
      <c r="H76" s="17"/>
      <c r="I76" s="17"/>
      <c r="J76" s="17" t="s">
        <v>28</v>
      </c>
      <c r="K76" s="17"/>
      <c r="L76" s="25"/>
      <c r="M76" s="25" t="str" cm="1">
        <f t="array" aca="1" ref="M76" ca="1">"ITM_"&amp;UPPER(RIGHT(OFFSET(D76,S76,0),LEN(OFFSET(D76,S76,0))-4))&amp;"_"&amp;_xlfn.IFNA(_xlfn.IFS(K76="Y","PKEY",L76="Y","F"&amp;UPPER(B76)),UPPER(B76))</f>
        <v>ITM_CAT_REQUEST_TITLE_EN</v>
      </c>
      <c r="N76" s="25" t="str">
        <f ca="1">M76&amp;","&amp;B76&amp;","&amp;OFFSET(G76,0,VLOOKUP($C$5,SQL[#All],2,FALSE) ) &amp;", -- "&amp;D76</f>
        <v>ITM_CAT_REQUEST_TITLE_EN,title_en,TEXT, -- 英語名称</v>
      </c>
      <c r="O76" s="25" t="str">
        <f t="shared" ca="1" si="5"/>
        <v>KEY_ITM_CAT_REQUEST_TITLE_EN                : Final[str] = "ITM_CAT_REQUEST_TITLE_EN"               # 英語名称</v>
      </c>
      <c r="P76" s="25"/>
      <c r="Q76" s="25"/>
      <c r="R76" s="25"/>
      <c r="S76" s="12">
        <v>-6</v>
      </c>
    </row>
    <row r="77" spans="1:19" x14ac:dyDescent="0.65">
      <c r="B77" s="17" t="str">
        <f ca="1">OFFSET( tbl_cat_request[[#Headers],[key_cat_request]], 0, ROWS( $A$74:A77 )-1 )</f>
        <v>key_cat_req_type</v>
      </c>
      <c r="C77" s="17" t="s">
        <v>4595</v>
      </c>
      <c r="D77" s="24" t="s">
        <v>4856</v>
      </c>
      <c r="E77" s="17" t="s">
        <v>21</v>
      </c>
      <c r="F77" s="17">
        <v>20</v>
      </c>
      <c r="G77" s="17" t="str">
        <f>VLOOKUP($E77, sql_type[#All], '&lt;SQL&gt; '!$E$3, FALSE )</f>
        <v>TEXT</v>
      </c>
      <c r="H77" s="17"/>
      <c r="I77" s="17"/>
      <c r="J77" s="17" t="s">
        <v>28</v>
      </c>
      <c r="K77" s="17"/>
      <c r="L77" s="25"/>
      <c r="M77" s="25" t="str" cm="1">
        <f t="array" aca="1" ref="M77" ca="1">"ITM_"&amp;UPPER(RIGHT(OFFSET(D77,S77,0),LEN(OFFSET(D77,S77,0))-4))&amp;"_"&amp;_xlfn.IFNA(_xlfn.IFS(K77="Y","PKEY",L77="Y","F"&amp;UPPER(B77)),UPPER(B77))</f>
        <v>ITM_CAT_REQUEST_KEY_CAT_REQ_TYPE</v>
      </c>
      <c r="N77" s="25" t="str">
        <f ca="1">M77&amp;","&amp;B77&amp;","&amp;OFFSET(G77,0,VLOOKUP($C$5,SQL[#All],2,FALSE) ) &amp;", -- "&amp;D77</f>
        <v>ITM_CAT_REQUEST_KEY_CAT_REQ_TYPE,key_cat_req_type,TEXT, -- 要件種類ID</v>
      </c>
      <c r="O77" s="25" t="str">
        <f t="shared" ref="O77:O78" ca="1" si="6">LEFT(LEFT("KEY_"&amp;M77&amp;REPT(" ",$O$6),$O$6)&amp;": Final[str] = """&amp;M77&amp;""""&amp;REPT(" ",$O$5),$O$5)&amp;"# "&amp;D77</f>
        <v>KEY_ITM_CAT_REQUEST_KEY_CAT_REQ_TYPE        : Final[str] = "ITM_CAT_REQUEST_KEY_CAT_REQ_TYPE"       # 要件種類ID</v>
      </c>
      <c r="P77" s="25"/>
      <c r="Q77" s="25"/>
      <c r="R77" s="25"/>
      <c r="S77" s="12">
        <v>-7</v>
      </c>
    </row>
    <row r="78" spans="1:19" x14ac:dyDescent="0.65">
      <c r="B78" s="17" t="str">
        <f ca="1">OFFSET( tbl_cat_request[[#Headers],[key_cat_request]], 0, ROWS( $A$74:A78 )-1 )</f>
        <v>req_type</v>
      </c>
      <c r="C78" s="17" t="s">
        <v>4595</v>
      </c>
      <c r="D78" s="24" t="s">
        <v>4857</v>
      </c>
      <c r="E78" s="17" t="s">
        <v>21</v>
      </c>
      <c r="F78" s="17">
        <v>20</v>
      </c>
      <c r="G78" s="17" t="str">
        <f>VLOOKUP($E78, sql_type[#All], '&lt;SQL&gt; '!$E$3, FALSE )</f>
        <v>TEXT</v>
      </c>
      <c r="H78" s="17"/>
      <c r="I78" s="17"/>
      <c r="J78" s="17" t="s">
        <v>28</v>
      </c>
      <c r="K78" s="17"/>
      <c r="L78" s="25"/>
      <c r="M78" s="25" t="str" cm="1">
        <f t="array" aca="1" ref="M78" ca="1">"ITM_"&amp;UPPER(RIGHT(OFFSET(D78,S78,0),LEN(OFFSET(D78,S78,0))-4))&amp;"_"&amp;_xlfn.IFNA(_xlfn.IFS(K78="Y","PKEY",L78="Y","F"&amp;UPPER(B78)),UPPER(B78))</f>
        <v>ITM_CAT_REQUEST_REQ_TYPE</v>
      </c>
      <c r="N78" s="25" t="str">
        <f ca="1">M78&amp;","&amp;B78&amp;","&amp;OFFSET(G78,0,VLOOKUP($C$5,SQL[#All],2,FALSE) ) &amp;", -- "&amp;D78</f>
        <v>ITM_CAT_REQUEST_REQ_TYPE,req_type,TEXT, -- 要件種類</v>
      </c>
      <c r="O78" s="25" t="str">
        <f t="shared" ca="1" si="6"/>
        <v>KEY_ITM_CAT_REQUEST_REQ_TYPE                : Final[str] = "ITM_CAT_REQUEST_REQ_TYPE"               # 要件種類</v>
      </c>
      <c r="P78" s="25"/>
      <c r="Q78" s="25"/>
      <c r="R78" s="25"/>
      <c r="S78" s="12">
        <v>-8</v>
      </c>
    </row>
    <row r="79" spans="1:19" x14ac:dyDescent="0.65">
      <c r="B79" s="17"/>
      <c r="C79" s="17"/>
      <c r="D79" s="24"/>
      <c r="E79" s="17"/>
      <c r="F79" s="17"/>
      <c r="G79" s="17"/>
      <c r="H79" s="17"/>
      <c r="I79" s="17"/>
      <c r="J79" s="17"/>
      <c r="K79" s="17"/>
      <c r="L79" s="25"/>
      <c r="M79" s="25"/>
      <c r="N79" s="25"/>
      <c r="O79" s="25"/>
      <c r="P79" s="25"/>
      <c r="Q79" s="25"/>
      <c r="R79" s="25"/>
      <c r="S79" s="12">
        <v>-9</v>
      </c>
    </row>
    <row r="80" spans="1:19" x14ac:dyDescent="0.65">
      <c r="B80" s="17"/>
      <c r="C80" s="17"/>
      <c r="D80" s="24"/>
      <c r="E80" s="17"/>
      <c r="F80" s="17"/>
      <c r="G80" s="17"/>
      <c r="H80" s="17"/>
      <c r="I80" s="17"/>
      <c r="J80" s="17"/>
      <c r="K80" s="17"/>
      <c r="L80" s="25"/>
      <c r="M80" s="25"/>
      <c r="N80" s="25"/>
      <c r="O80" s="25"/>
      <c r="P80" s="25"/>
      <c r="Q80" s="25"/>
      <c r="R80" s="25"/>
      <c r="S80" s="12">
        <v>-10</v>
      </c>
    </row>
    <row r="82" spans="1:19" x14ac:dyDescent="0.65">
      <c r="A82" s="12" t="s">
        <v>4642</v>
      </c>
    </row>
    <row r="83" spans="1:19" x14ac:dyDescent="0.65">
      <c r="B83" s="15" t="s">
        <v>2</v>
      </c>
      <c r="C83" s="16" t="s">
        <v>3</v>
      </c>
      <c r="D83" s="17" t="s">
        <v>4672</v>
      </c>
      <c r="N83" s="25" t="str">
        <f>UPPER( D83 ) &amp; "," &amp;D83 &amp; ",,"</f>
        <v>TBL_CAT_PHASE,tbl_cat_phase,,</v>
      </c>
      <c r="O83" s="25" t="str">
        <f>LEFT( LEFT("KEY_"&amp;UPPER(D83)&amp;REPT(" ",$O$6),$O$6) &amp; ": Final[str] = """&amp;UPPER(D83)&amp;"""" &amp; REPT(" ",$O$5),$O$5 ) &amp; "# " &amp;D84</f>
        <v>KEY_TBL_CAT_PHASE                           : Final[str] = "TBL_CAT_PHASE"                          # 設計領域テーブル</v>
      </c>
    </row>
    <row r="84" spans="1:19" x14ac:dyDescent="0.65">
      <c r="B84" s="18"/>
      <c r="C84" s="19" t="s">
        <v>4</v>
      </c>
      <c r="D84" s="17" t="s">
        <v>4621</v>
      </c>
    </row>
    <row r="85" spans="1:19" x14ac:dyDescent="0.65">
      <c r="B85" s="20" t="s">
        <v>6</v>
      </c>
      <c r="C85" s="20"/>
      <c r="D85" s="21"/>
      <c r="E85" s="20" t="s">
        <v>7</v>
      </c>
      <c r="F85" s="20"/>
      <c r="G85" s="20"/>
      <c r="H85" s="20"/>
      <c r="I85" s="20"/>
      <c r="J85" s="20" t="s">
        <v>8</v>
      </c>
      <c r="K85" s="20"/>
      <c r="L85" s="20"/>
      <c r="M85" s="20"/>
      <c r="N85" s="20" t="s">
        <v>4514</v>
      </c>
      <c r="O85" s="20"/>
      <c r="P85" s="20"/>
      <c r="Q85" s="20"/>
      <c r="R85" s="20"/>
    </row>
    <row r="86" spans="1:19" x14ac:dyDescent="0.65">
      <c r="B86" s="22" t="s">
        <v>9</v>
      </c>
      <c r="C86" s="22" t="s">
        <v>4</v>
      </c>
      <c r="D86" s="23" t="s">
        <v>10</v>
      </c>
      <c r="E86" s="22" t="s">
        <v>11</v>
      </c>
      <c r="F86" s="22" t="s">
        <v>12</v>
      </c>
      <c r="G86" s="22" t="s">
        <v>4512</v>
      </c>
      <c r="H86" s="22" t="s">
        <v>4515</v>
      </c>
      <c r="I86" s="22" t="s">
        <v>4517</v>
      </c>
      <c r="J86" s="22" t="s">
        <v>13</v>
      </c>
      <c r="K86" s="22" t="s">
        <v>14</v>
      </c>
      <c r="L86" s="22" t="s">
        <v>15</v>
      </c>
      <c r="M86" s="22"/>
      <c r="N86" s="22" t="s">
        <v>4665</v>
      </c>
      <c r="O86" s="22"/>
      <c r="P86" s="22" t="s">
        <v>4513</v>
      </c>
      <c r="Q86" s="22" t="s">
        <v>4516</v>
      </c>
      <c r="R86" s="22" t="s">
        <v>4518</v>
      </c>
    </row>
    <row r="87" spans="1:19" x14ac:dyDescent="0.65">
      <c r="B87" s="17" t="str">
        <f ca="1">OFFSET( tbl_cat_phase[[#Headers],[key_cat_phase]], 0, ROWS( $A$87:A87 )-1 )</f>
        <v>key_cat_phase</v>
      </c>
      <c r="C87" s="17" t="s">
        <v>4624</v>
      </c>
      <c r="D87" s="24" t="s">
        <v>4624</v>
      </c>
      <c r="E87" s="17" t="s">
        <v>18</v>
      </c>
      <c r="F87" s="17"/>
      <c r="G87" s="17" t="str">
        <f>VLOOKUP($E87, sql_type[#All], '&lt;SQL&gt; '!$E$3, FALSE )</f>
        <v>INTEGER</v>
      </c>
      <c r="H87" s="17"/>
      <c r="I87" s="17"/>
      <c r="J87" s="17" t="s">
        <v>19</v>
      </c>
      <c r="K87" s="17" t="s">
        <v>19</v>
      </c>
      <c r="L87" s="25"/>
      <c r="M87" s="25" t="str" cm="1">
        <f t="array" aca="1" ref="M87" ca="1">"ITM_"&amp;UPPER(RIGHT(OFFSET(D87,S87,0),LEN(OFFSET(D87,S87,0))-4))&amp;"_"&amp;_xlfn.IFNA(_xlfn.IFS(K87="Y","PKEY",L87="Y","F"&amp;UPPER(B87)),UPPER(B87))</f>
        <v>ITM_CAT_PHASE_PKEY</v>
      </c>
      <c r="N87" s="25" t="str">
        <f ca="1">M87&amp;","&amp;B87&amp;","&amp;OFFSET(G87,0,VLOOKUP($C$5,SQL[#All],2,FALSE) ) &amp;", -- "&amp;D87</f>
        <v>ITM_CAT_PHASE_PKEY,key_cat_phase,INTEGER, -- 設計領域ID</v>
      </c>
      <c r="O87" s="25" t="str">
        <f t="shared" ref="O87:O89" ca="1" si="7">LEFT(LEFT("KEY_"&amp;M87&amp;REPT(" ",$O$6),$O$6)&amp;": Final[str] = """&amp;M87&amp;""""&amp;REPT(" ",$O$5),$O$5)&amp;"# "&amp;D87</f>
        <v>KEY_ITM_CAT_PHASE_PKEY                      : Final[str] = "ITM_CAT_PHASE_PKEY"                     # 設計領域ID</v>
      </c>
      <c r="P87" s="25" t="str">
        <f ca="1">$B87 &amp; " " &amp; VLOOKUP($E87, sql_type[#All], '&lt;SQL&gt; '!$E$3, FALSE )&amp; " " &amp; IFERROR( IF($K87="", VLOOKUP(K87, sql_notnull[#All], '&lt;SQL&gt; '!$E$3, FALSE ), VLOOKUP($K87, sql_pk[], '&lt;SQL&gt; '!$E$3, FALSE ) ), "" ) &amp; ", -- "  &amp;$D87</f>
        <v>key_cat_phase INTEGER PRIMARY KEY, -- 設計領域ID</v>
      </c>
      <c r="Q87" s="25"/>
      <c r="R87" s="25"/>
      <c r="S87" s="12">
        <v>-4</v>
      </c>
    </row>
    <row r="88" spans="1:19" x14ac:dyDescent="0.65">
      <c r="B88" s="17" t="str">
        <f ca="1">OFFSET( tbl_cat_phase[[#Headers],[key_cat_phase]], 0, ROWS( $A$87:A88 )-1 )</f>
        <v>title_jp</v>
      </c>
      <c r="C88" s="17" t="s">
        <v>4596</v>
      </c>
      <c r="D88" s="24" t="s">
        <v>4596</v>
      </c>
      <c r="E88" s="17" t="s">
        <v>21</v>
      </c>
      <c r="F88" s="17"/>
      <c r="G88" s="17" t="str">
        <f>VLOOKUP($E88, sql_type[#All], '&lt;SQL&gt; '!$E$3, FALSE )</f>
        <v>TEXT</v>
      </c>
      <c r="H88" s="17"/>
      <c r="I88" s="17"/>
      <c r="J88" s="17" t="s">
        <v>19</v>
      </c>
      <c r="K88" s="17"/>
      <c r="L88" s="25"/>
      <c r="M88" s="25" t="str" cm="1">
        <f t="array" aca="1" ref="M88" ca="1">"ITM_"&amp;UPPER(RIGHT(OFFSET(D88,S88,0),LEN(OFFSET(D88,S88,0))-4))&amp;"_"&amp;_xlfn.IFNA(_xlfn.IFS(K88="Y","PKEY",L88="Y","F"&amp;UPPER(B88)),UPPER(B88))</f>
        <v>ITM_CAT_PHASE_TITLE_JP</v>
      </c>
      <c r="N88" s="25" t="str">
        <f ca="1">M88&amp;","&amp;B88&amp;","&amp;OFFSET(G88,0,VLOOKUP($C$5,SQL[#All],2,FALSE) ) &amp;", -- "&amp;D88</f>
        <v>ITM_CAT_PHASE_TITLE_JP,title_jp,TEXT, -- 日本語名称</v>
      </c>
      <c r="O88" s="25" t="str">
        <f t="shared" ca="1" si="7"/>
        <v>KEY_ITM_CAT_PHASE_TITLE_JP                  : Final[str] = "ITM_CAT_PHASE_TITLE_JP"                 # 日本語名称</v>
      </c>
      <c r="P88" s="25"/>
      <c r="Q88" s="25"/>
      <c r="R88" s="25"/>
      <c r="S88" s="12">
        <v>-5</v>
      </c>
    </row>
    <row r="89" spans="1:19" x14ac:dyDescent="0.65">
      <c r="B89" s="17" t="str">
        <f ca="1">OFFSET( tbl_cat_phase[[#Headers],[key_cat_phase]], 0, ROWS( $A$87:A89 )-1 )</f>
        <v>title_en</v>
      </c>
      <c r="C89" s="17" t="s">
        <v>4595</v>
      </c>
      <c r="D89" s="24" t="s">
        <v>4595</v>
      </c>
      <c r="E89" s="17" t="s">
        <v>21</v>
      </c>
      <c r="F89" s="17"/>
      <c r="G89" s="17" t="str">
        <f>VLOOKUP($E89, sql_type[#All], '&lt;SQL&gt; '!$E$3, FALSE )</f>
        <v>TEXT</v>
      </c>
      <c r="H89" s="17"/>
      <c r="I89" s="17"/>
      <c r="J89" s="17" t="s">
        <v>28</v>
      </c>
      <c r="K89" s="17"/>
      <c r="L89" s="25"/>
      <c r="M89" s="25" t="str" cm="1">
        <f t="array" aca="1" ref="M89" ca="1">"ITM_"&amp;UPPER(RIGHT(OFFSET(D89,S89,0),LEN(OFFSET(D89,S89,0))-4))&amp;"_"&amp;_xlfn.IFNA(_xlfn.IFS(K89="Y","PKEY",L89="Y","F"&amp;UPPER(B89)),UPPER(B89))</f>
        <v>ITM_CAT_PHASE_TITLE_EN</v>
      </c>
      <c r="N89" s="25" t="str">
        <f ca="1">M89&amp;","&amp;B89&amp;","&amp;OFFSET(G89,0,VLOOKUP($C$5,SQL[#All],2,FALSE) ) &amp;", -- "&amp;D89</f>
        <v>ITM_CAT_PHASE_TITLE_EN,title_en,TEXT, -- 英語名称</v>
      </c>
      <c r="O89" s="25" t="str">
        <f t="shared" ca="1" si="7"/>
        <v>KEY_ITM_CAT_PHASE_TITLE_EN                  : Final[str] = "ITM_CAT_PHASE_TITLE_EN"                 # 英語名称</v>
      </c>
      <c r="P89" s="25"/>
      <c r="Q89" s="25"/>
      <c r="R89" s="25"/>
      <c r="S89" s="12">
        <v>-6</v>
      </c>
    </row>
    <row r="90" spans="1:19" x14ac:dyDescent="0.65">
      <c r="B90" s="17"/>
      <c r="C90" s="17"/>
      <c r="D90" s="24"/>
      <c r="E90" s="17"/>
      <c r="F90" s="17"/>
      <c r="G90" s="17"/>
      <c r="H90" s="17"/>
      <c r="I90" s="17"/>
      <c r="J90" s="17"/>
      <c r="K90" s="17"/>
      <c r="L90" s="25"/>
      <c r="M90" s="25"/>
      <c r="N90" s="25"/>
      <c r="O90" s="25"/>
      <c r="P90" s="25"/>
      <c r="Q90" s="25"/>
      <c r="R90" s="25"/>
      <c r="S90" s="12">
        <v>-7</v>
      </c>
    </row>
    <row r="92" spans="1:19" x14ac:dyDescent="0.65">
      <c r="A92" s="12" t="s">
        <v>4511</v>
      </c>
    </row>
    <row r="93" spans="1:19" x14ac:dyDescent="0.65">
      <c r="B93" s="15" t="s">
        <v>2</v>
      </c>
      <c r="C93" s="16" t="s">
        <v>3</v>
      </c>
      <c r="D93" s="17" t="s">
        <v>4679</v>
      </c>
      <c r="N93" s="25" t="str">
        <f>UPPER( D93 ) &amp; "," &amp;D93 &amp; ",,"</f>
        <v>TBL_SCP_SALES_REGION,tbl_scp_sales_region,,</v>
      </c>
      <c r="O93" s="25" t="str">
        <f>LEFT( LEFT("KEY_"&amp;UPPER(D93)&amp;REPT(" ",$O$6),$O$6) &amp; ": Final[str] = """&amp;UPPER(D93)&amp;"""" &amp; REPT(" ",$O$5),$O$5 ) &amp; "# " &amp;D94</f>
        <v>KEY_TBL_SCP_SALES_REGION                    : Final[str] = "TBL_SCP_SALES_REGION"                   # 要件類テーブル</v>
      </c>
    </row>
    <row r="94" spans="1:19" x14ac:dyDescent="0.65">
      <c r="B94" s="18"/>
      <c r="C94" s="19" t="s">
        <v>4</v>
      </c>
      <c r="D94" s="17" t="s">
        <v>4497</v>
      </c>
    </row>
    <row r="95" spans="1:19" x14ac:dyDescent="0.65">
      <c r="B95" s="20" t="s">
        <v>6</v>
      </c>
      <c r="C95" s="20"/>
      <c r="D95" s="21"/>
      <c r="E95" s="20" t="s">
        <v>7</v>
      </c>
      <c r="F95" s="20"/>
      <c r="G95" s="20"/>
      <c r="H95" s="20"/>
      <c r="I95" s="20"/>
      <c r="J95" s="20" t="s">
        <v>8</v>
      </c>
      <c r="K95" s="20"/>
      <c r="L95" s="20"/>
      <c r="M95" s="20"/>
      <c r="N95" s="20" t="s">
        <v>4514</v>
      </c>
      <c r="O95" s="20"/>
      <c r="P95" s="20"/>
      <c r="Q95" s="20"/>
      <c r="R95" s="20"/>
    </row>
    <row r="96" spans="1:19" x14ac:dyDescent="0.65">
      <c r="B96" s="22" t="s">
        <v>9</v>
      </c>
      <c r="C96" s="22" t="s">
        <v>4</v>
      </c>
      <c r="D96" s="23" t="s">
        <v>10</v>
      </c>
      <c r="E96" s="22" t="s">
        <v>11</v>
      </c>
      <c r="F96" s="22" t="s">
        <v>12</v>
      </c>
      <c r="G96" s="22" t="s">
        <v>4512</v>
      </c>
      <c r="H96" s="22" t="s">
        <v>4515</v>
      </c>
      <c r="I96" s="22" t="s">
        <v>4517</v>
      </c>
      <c r="J96" s="22" t="s">
        <v>13</v>
      </c>
      <c r="K96" s="22" t="s">
        <v>14</v>
      </c>
      <c r="L96" s="22" t="s">
        <v>15</v>
      </c>
      <c r="M96" s="22"/>
      <c r="N96" s="22" t="s">
        <v>4665</v>
      </c>
      <c r="O96" s="22"/>
      <c r="P96" s="22" t="s">
        <v>4513</v>
      </c>
      <c r="Q96" s="22" t="s">
        <v>4516</v>
      </c>
      <c r="R96" s="22" t="s">
        <v>4518</v>
      </c>
    </row>
    <row r="97" spans="1:19" x14ac:dyDescent="0.65">
      <c r="B97" s="17" t="str">
        <f ca="1">OFFSET( tbl_scp_sales_region[[#Headers],[key_scp_sales_region]], 0, ROWS( $A$97:A97 )-1 )</f>
        <v>key_scp_sales_region</v>
      </c>
      <c r="C97" s="17" t="s">
        <v>4615</v>
      </c>
      <c r="D97" s="24" t="s">
        <v>4615</v>
      </c>
      <c r="E97" s="17" t="s">
        <v>18</v>
      </c>
      <c r="F97" s="17">
        <v>4</v>
      </c>
      <c r="G97" s="17" t="str">
        <f>VLOOKUP($E97, sql_type[#All], '&lt;SQL&gt; '!$E$3, FALSE )</f>
        <v>INTEGER</v>
      </c>
      <c r="H97" s="17"/>
      <c r="I97" s="17"/>
      <c r="J97" s="17" t="s">
        <v>19</v>
      </c>
      <c r="K97" s="17" t="s">
        <v>19</v>
      </c>
      <c r="L97" s="25"/>
      <c r="M97" s="25" t="str" cm="1">
        <f t="array" aca="1" ref="M97" ca="1">"ITM_"&amp;UPPER(RIGHT(OFFSET(D97,S97,0),LEN(OFFSET(D97,S97,0))-4))&amp;"_"&amp;_xlfn.IFNA(_xlfn.IFS(K97="Y","PKEY",L97="Y","F"&amp;UPPER(B97)),UPPER(B97))</f>
        <v>ITM_SCP_SALES_REGION_PKEY</v>
      </c>
      <c r="N97" s="25" t="str">
        <f ca="1">M97&amp;","&amp;B97&amp;","&amp;OFFSET(G97,0,VLOOKUP($C$5,SQL[#All],2,FALSE) ) &amp;", -- "&amp;D97</f>
        <v>ITM_SCP_SALES_REGION_PKEY,key_scp_sales_region,INTEGER, -- 販売地域ID</v>
      </c>
      <c r="O97" s="25" t="str">
        <f t="shared" ref="O97:O99" ca="1" si="8">LEFT(LEFT("KEY_"&amp;M97&amp;REPT(" ",$O$6),$O$6)&amp;": Final[str] = """&amp;M97&amp;""""&amp;REPT(" ",$O$5),$O$5)&amp;"# "&amp;D97</f>
        <v>KEY_ITM_SCP_SALES_REGION_PKEY               : Final[str] = "ITM_SCP_SALES_REGION_PKEY"              # 販売地域ID</v>
      </c>
      <c r="P97" s="25" t="str">
        <f ca="1">$B97 &amp; " " &amp; VLOOKUP($E97, sql_type[#All], '&lt;SQL&gt; '!$E$3, FALSE )&amp; " " &amp; IFERROR( IF($K97="", VLOOKUP(K97, sql_notnull[#All], '&lt;SQL&gt; '!$E$3, FALSE ), VLOOKUP($K97, sql_pk[], '&lt;SQL&gt; '!$E$3, FALSE ) ), "" ) &amp; ", -- "  &amp;$D97</f>
        <v>key_scp_sales_region INTEGER PRIMARY KEY, -- 販売地域ID</v>
      </c>
      <c r="Q97" s="25"/>
      <c r="R97" s="25"/>
      <c r="S97" s="12">
        <v>-4</v>
      </c>
    </row>
    <row r="98" spans="1:19" x14ac:dyDescent="0.65">
      <c r="B98" s="17" t="str">
        <f ca="1">OFFSET( tbl_scp_sales_region[[#Headers],[key_scp_sales_region]], 0, ROWS( $A$97:A98 )-1 )</f>
        <v>title_jp</v>
      </c>
      <c r="C98" s="17" t="s">
        <v>4596</v>
      </c>
      <c r="D98" s="24" t="s">
        <v>4596</v>
      </c>
      <c r="E98" s="17" t="s">
        <v>21</v>
      </c>
      <c r="F98" s="17">
        <v>20</v>
      </c>
      <c r="G98" s="17" t="str">
        <f>VLOOKUP($E98, sql_type[#All], '&lt;SQL&gt; '!$E$3, FALSE )</f>
        <v>TEXT</v>
      </c>
      <c r="H98" s="17"/>
      <c r="I98" s="17"/>
      <c r="J98" s="17" t="s">
        <v>19</v>
      </c>
      <c r="K98" s="17"/>
      <c r="L98" s="25"/>
      <c r="M98" s="25" t="str" cm="1">
        <f t="array" aca="1" ref="M98" ca="1">"ITM_"&amp;UPPER(RIGHT(OFFSET(D98,S98,0),LEN(OFFSET(D98,S98,0))-4))&amp;"_"&amp;_xlfn.IFNA(_xlfn.IFS(K98="Y","PKEY",L98="Y","F"&amp;UPPER(B98)),UPPER(B98))</f>
        <v>ITM_SCP_SALES_REGION_TITLE_JP</v>
      </c>
      <c r="N98" s="25" t="str">
        <f ca="1">M98&amp;","&amp;B98&amp;","&amp;OFFSET(G98,0,VLOOKUP($C$5,SQL[#All],2,FALSE) ) &amp;", -- "&amp;D98</f>
        <v>ITM_SCP_SALES_REGION_TITLE_JP,title_jp,TEXT, -- 日本語名称</v>
      </c>
      <c r="O98" s="25" t="str">
        <f t="shared" ca="1" si="8"/>
        <v>KEY_ITM_SCP_SALES_REGION_TITLE_JP           : Final[str] = "ITM_SCP_SALES_REGION_TITLE_JP"          # 日本語名称</v>
      </c>
      <c r="P98" s="25"/>
      <c r="Q98" s="25"/>
      <c r="R98" s="25"/>
      <c r="S98" s="12">
        <v>-5</v>
      </c>
    </row>
    <row r="99" spans="1:19" x14ac:dyDescent="0.65">
      <c r="B99" s="17" t="str">
        <f ca="1">OFFSET( tbl_scp_sales_region[[#Headers],[key_scp_sales_region]], 0, ROWS( $A$97:A99 )-1 )</f>
        <v>title_en</v>
      </c>
      <c r="C99" s="17" t="s">
        <v>4595</v>
      </c>
      <c r="D99" s="24" t="s">
        <v>4595</v>
      </c>
      <c r="E99" s="17" t="s">
        <v>21</v>
      </c>
      <c r="F99" s="17">
        <v>20</v>
      </c>
      <c r="G99" s="17" t="str">
        <f>VLOOKUP($E99, sql_type[#All], '&lt;SQL&gt; '!$E$3, FALSE )</f>
        <v>TEXT</v>
      </c>
      <c r="H99" s="17"/>
      <c r="I99" s="17"/>
      <c r="J99" s="17" t="s">
        <v>28</v>
      </c>
      <c r="K99" s="17"/>
      <c r="L99" s="25"/>
      <c r="M99" s="25" t="str" cm="1">
        <f t="array" aca="1" ref="M99" ca="1">"ITM_"&amp;UPPER(RIGHT(OFFSET(D99,S99,0),LEN(OFFSET(D99,S99,0))-4))&amp;"_"&amp;_xlfn.IFNA(_xlfn.IFS(K99="Y","PKEY",L99="Y","F"&amp;UPPER(B99)),UPPER(B99))</f>
        <v>ITM_SCP_SALES_REGION_TITLE_EN</v>
      </c>
      <c r="N99" s="25" t="str">
        <f ca="1">M99&amp;","&amp;B99&amp;","&amp;OFFSET(G99,0,VLOOKUP($C$5,SQL[#All],2,FALSE) ) &amp;", -- "&amp;D99</f>
        <v>ITM_SCP_SALES_REGION_TITLE_EN,title_en,TEXT, -- 英語名称</v>
      </c>
      <c r="O99" s="25" t="str">
        <f t="shared" ca="1" si="8"/>
        <v>KEY_ITM_SCP_SALES_REGION_TITLE_EN           : Final[str] = "ITM_SCP_SALES_REGION_TITLE_EN"          # 英語名称</v>
      </c>
      <c r="P99" s="25"/>
      <c r="Q99" s="25"/>
      <c r="R99" s="25"/>
      <c r="S99" s="12">
        <v>-6</v>
      </c>
    </row>
    <row r="100" spans="1:19" x14ac:dyDescent="0.65">
      <c r="B100" s="17" t="str">
        <f ca="1">OFFSET( tbl_scp_sales_region[[#Headers],[key_scp_sales_region]], 0, ROWS( $A$97:A100 )-1 )</f>
        <v>country_code_2</v>
      </c>
      <c r="C100" s="17" t="s">
        <v>4692</v>
      </c>
      <c r="D100" s="24" t="s">
        <v>4694</v>
      </c>
      <c r="E100" s="17" t="s">
        <v>21</v>
      </c>
      <c r="F100" s="17">
        <v>4</v>
      </c>
      <c r="G100" s="17" t="str">
        <f>VLOOKUP($E100, sql_type[#All], '&lt;SQL&gt; '!$E$3, FALSE )</f>
        <v>TEXT</v>
      </c>
      <c r="H100" s="17"/>
      <c r="I100" s="17"/>
      <c r="J100" s="17" t="s">
        <v>28</v>
      </c>
      <c r="K100" s="17"/>
      <c r="L100" s="25"/>
      <c r="M100" s="25" t="str" cm="1">
        <f t="array" aca="1" ref="M100" ca="1">"ITM_"&amp;UPPER(RIGHT(OFFSET(D100,S100,0),LEN(OFFSET(D100,S100,0))-4))&amp;"_"&amp;_xlfn.IFNA(_xlfn.IFS(K100="Y","PKEY",L100="Y","F"&amp;UPPER(B100)),UPPER(B100))</f>
        <v>ITM_SCP_SALES_REGION_COUNTRY_CODE_2</v>
      </c>
      <c r="N100" s="25" t="str">
        <f ca="1">M100&amp;","&amp;B100&amp;","&amp;OFFSET(G100,0,VLOOKUP($C$5,SQL[#All],2,FALSE) ) &amp;", -- "&amp;D100</f>
        <v>ITM_SCP_SALES_REGION_COUNTRY_CODE_2,country_code_2,TEXT, -- 国コード２桁 ISO 3166-1 alpha-2</v>
      </c>
      <c r="O100" s="25" t="str">
        <f t="shared" ref="O100:O101" ca="1" si="9">LEFT(LEFT("KEY_"&amp;M100&amp;REPT(" ",$O$6),$O$6)&amp;": Final[str] = """&amp;M100&amp;""""&amp;REPT(" ",$O$5),$O$5)&amp;"# "&amp;D100</f>
        <v>KEY_ITM_SCP_SALES_REGION_COUNTRY_CODE_2     : Final[str] = "ITM_SCP_SALES_REGION_COUNTRY_CODE_2"    # 国コード２桁 ISO 3166-1 alpha-2</v>
      </c>
      <c r="P100" s="25"/>
      <c r="Q100" s="25"/>
      <c r="R100" s="25"/>
      <c r="S100" s="12">
        <v>-7</v>
      </c>
    </row>
    <row r="101" spans="1:19" x14ac:dyDescent="0.65">
      <c r="B101" s="17" t="str">
        <f ca="1">OFFSET( tbl_scp_sales_region[[#Headers],[key_scp_sales_region]], 0, ROWS( $A$97:A101 )-1 )</f>
        <v>country_code_3</v>
      </c>
      <c r="C101" s="17" t="s">
        <v>4691</v>
      </c>
      <c r="D101" s="24" t="s">
        <v>4693</v>
      </c>
      <c r="E101" s="17" t="s">
        <v>21</v>
      </c>
      <c r="F101" s="17">
        <v>6</v>
      </c>
      <c r="G101" s="17" t="str">
        <f>VLOOKUP($E101, sql_type[#All], '&lt;SQL&gt; '!$E$3, FALSE )</f>
        <v>TEXT</v>
      </c>
      <c r="H101" s="17"/>
      <c r="I101" s="17"/>
      <c r="J101" s="17" t="s">
        <v>28</v>
      </c>
      <c r="K101" s="17"/>
      <c r="L101" s="25"/>
      <c r="M101" s="25" t="str" cm="1">
        <f t="array" aca="1" ref="M101" ca="1">"ITM_"&amp;UPPER(RIGHT(OFFSET(D101,S101,0),LEN(OFFSET(D101,S101,0))-4))&amp;"_"&amp;_xlfn.IFNA(_xlfn.IFS(K101="Y","PKEY",L101="Y","F"&amp;UPPER(B101)),UPPER(B101))</f>
        <v>ITM_SCP_SALES_REGION_COUNTRY_CODE_3</v>
      </c>
      <c r="N101" s="25" t="str">
        <f ca="1">M101&amp;","&amp;B101&amp;","&amp;OFFSET(G101,0,VLOOKUP($C$5,SQL[#All],2,FALSE) ) &amp;", -- "&amp;D101</f>
        <v>ITM_SCP_SALES_REGION_COUNTRY_CODE_3,country_code_3,TEXT, -- 国コード３桁 ISO 3166-1 alpha-3</v>
      </c>
      <c r="O101" s="25" t="str">
        <f t="shared" ca="1" si="9"/>
        <v>KEY_ITM_SCP_SALES_REGION_COUNTRY_CODE_3     : Final[str] = "ITM_SCP_SALES_REGION_COUNTRY_CODE_3"    # 国コード３桁 ISO 3166-1 alpha-3</v>
      </c>
      <c r="P101" s="25"/>
      <c r="Q101" s="25"/>
      <c r="R101" s="25"/>
      <c r="S101" s="12">
        <v>-8</v>
      </c>
    </row>
    <row r="102" spans="1:19" x14ac:dyDescent="0.65">
      <c r="B102" s="17"/>
      <c r="C102" s="17"/>
      <c r="D102" s="24"/>
      <c r="E102" s="17"/>
      <c r="F102" s="17"/>
      <c r="G102" s="17"/>
      <c r="H102" s="17"/>
      <c r="I102" s="17"/>
      <c r="J102" s="17"/>
      <c r="K102" s="17"/>
      <c r="L102" s="25"/>
      <c r="M102" s="25"/>
      <c r="N102" s="25"/>
      <c r="O102" s="25"/>
      <c r="P102" s="25"/>
      <c r="Q102" s="25"/>
      <c r="R102" s="25"/>
      <c r="S102" s="12">
        <v>-9</v>
      </c>
    </row>
    <row r="104" spans="1:19" x14ac:dyDescent="0.65">
      <c r="A104" s="12" t="s">
        <v>4618</v>
      </c>
    </row>
    <row r="105" spans="1:19" x14ac:dyDescent="0.65">
      <c r="B105" s="15" t="s">
        <v>2</v>
      </c>
      <c r="C105" s="16" t="s">
        <v>3</v>
      </c>
      <c r="D105" s="17" t="s">
        <v>4678</v>
      </c>
      <c r="N105" s="25" t="str">
        <f>UPPER( D105 ) &amp; "," &amp;D105 &amp; ",,"</f>
        <v>TBL_SCP_PRODUCT_GENRE,tbl_scp_product_genre,,</v>
      </c>
      <c r="O105" s="25" t="str">
        <f>LEFT( LEFT("KEY_"&amp;UPPER(D105)&amp;REPT(" ",$O$6),$O$6) &amp; ": Final[str] = """&amp;UPPER(D105)&amp;"""" &amp; REPT(" ",$O$5),$O$5 ) &amp; "# " &amp;D106</f>
        <v>KEY_TBL_SCP_PRODUCT_GENRE                   : Final[str] = "TBL_SCP_PRODUCT_GENRE"                  # 販売地域テーブル</v>
      </c>
    </row>
    <row r="106" spans="1:19" x14ac:dyDescent="0.65">
      <c r="B106" s="18"/>
      <c r="C106" s="19" t="s">
        <v>4</v>
      </c>
      <c r="D106" s="17" t="s">
        <v>4622</v>
      </c>
    </row>
    <row r="107" spans="1:19" x14ac:dyDescent="0.65">
      <c r="B107" s="20" t="s">
        <v>6</v>
      </c>
      <c r="C107" s="20"/>
      <c r="D107" s="21"/>
      <c r="E107" s="20" t="s">
        <v>7</v>
      </c>
      <c r="F107" s="20"/>
      <c r="G107" s="20"/>
      <c r="H107" s="20"/>
      <c r="I107" s="20"/>
      <c r="J107" s="20" t="s">
        <v>8</v>
      </c>
      <c r="K107" s="20"/>
      <c r="L107" s="20"/>
      <c r="M107" s="20"/>
      <c r="N107" s="20" t="s">
        <v>4514</v>
      </c>
      <c r="O107" s="20"/>
      <c r="P107" s="20"/>
      <c r="Q107" s="20"/>
      <c r="R107" s="20"/>
    </row>
    <row r="108" spans="1:19" x14ac:dyDescent="0.65">
      <c r="B108" s="22" t="s">
        <v>9</v>
      </c>
      <c r="C108" s="22" t="s">
        <v>4</v>
      </c>
      <c r="D108" s="23" t="s">
        <v>10</v>
      </c>
      <c r="E108" s="22" t="s">
        <v>11</v>
      </c>
      <c r="F108" s="22" t="s">
        <v>12</v>
      </c>
      <c r="G108" s="22" t="s">
        <v>4512</v>
      </c>
      <c r="H108" s="22" t="s">
        <v>4515</v>
      </c>
      <c r="I108" s="22" t="s">
        <v>4517</v>
      </c>
      <c r="J108" s="22" t="s">
        <v>13</v>
      </c>
      <c r="K108" s="22" t="s">
        <v>14</v>
      </c>
      <c r="L108" s="22" t="s">
        <v>15</v>
      </c>
      <c r="M108" s="22"/>
      <c r="N108" s="22" t="s">
        <v>4665</v>
      </c>
      <c r="O108" s="22"/>
      <c r="P108" s="22" t="s">
        <v>4513</v>
      </c>
      <c r="Q108" s="22" t="s">
        <v>4516</v>
      </c>
      <c r="R108" s="22" t="s">
        <v>4518</v>
      </c>
    </row>
    <row r="109" spans="1:19" x14ac:dyDescent="0.65">
      <c r="B109" s="17" t="str">
        <f ca="1">OFFSET( tbl_scp_product_genre[[#Headers],[key_scp_product_genre]], 0, ROWS( $A$109:A109 )-1 )</f>
        <v>key_scp_product_genre</v>
      </c>
      <c r="C109" s="17" t="s">
        <v>4617</v>
      </c>
      <c r="D109" s="24" t="s">
        <v>4620</v>
      </c>
      <c r="E109" s="17" t="s">
        <v>18</v>
      </c>
      <c r="F109" s="17">
        <v>4</v>
      </c>
      <c r="G109" s="17" t="str">
        <f>VLOOKUP($E109, sql_type[#All], '&lt;SQL&gt; '!$E$3, FALSE )</f>
        <v>INTEGER</v>
      </c>
      <c r="H109" s="17"/>
      <c r="I109" s="17"/>
      <c r="J109" s="17" t="s">
        <v>19</v>
      </c>
      <c r="K109" s="17" t="s">
        <v>19</v>
      </c>
      <c r="L109" s="25"/>
      <c r="M109" s="25" t="str" cm="1">
        <f t="array" aca="1" ref="M109" ca="1">"ITM_"&amp;UPPER(RIGHT(OFFSET(D109,S109,0),LEN(OFFSET(D109,S109,0))-4))&amp;"_"&amp;_xlfn.IFNA(_xlfn.IFS(K109="Y","PKEY",L109="Y","F"&amp;UPPER(B109)),UPPER(B109))</f>
        <v>ITM_SCP_PRODUCT_GENRE_PKEY</v>
      </c>
      <c r="N109" s="25" t="str">
        <f ca="1">M109&amp;","&amp;B109&amp;","&amp;OFFSET(G109,0,VLOOKUP($C$5,SQL[#All],2,FALSE) ) &amp;", -- "&amp;D109</f>
        <v>ITM_SCP_PRODUCT_GENRE_PKEY,key_scp_product_genre,INTEGER, -- 製品ジャンルID</v>
      </c>
      <c r="O109" s="25" t="str">
        <f t="shared" ref="O109:O112" ca="1" si="10">LEFT(LEFT("KEY_"&amp;M109&amp;REPT(" ",$O$6),$O$6)&amp;": Final[str] = """&amp;M109&amp;""""&amp;REPT(" ",$O$5),$O$5)&amp;"# "&amp;D109</f>
        <v>KEY_ITM_SCP_PRODUCT_GENRE_PKEY              : Final[str] = "ITM_SCP_PRODUCT_GENRE_PKEY"             # 製品ジャンルID</v>
      </c>
      <c r="P109" s="25" t="str">
        <f ca="1">$B109 &amp; " " &amp; VLOOKUP($E109, sql_type[#All], '&lt;SQL&gt; '!$E$3, FALSE )&amp; " " &amp; IFERROR( IF($K109="", VLOOKUP(K109, sql_notnull[#All], '&lt;SQL&gt; '!$E$3, FALSE ), VLOOKUP($K109, sql_pk[], '&lt;SQL&gt; '!$E$3, FALSE ) ), "" ) &amp; ", -- "  &amp;$D109</f>
        <v>key_scp_product_genre INTEGER PRIMARY KEY, -- 製品ジャンルID</v>
      </c>
      <c r="Q109" s="25"/>
      <c r="R109" s="25"/>
      <c r="S109" s="12">
        <v>-4</v>
      </c>
    </row>
    <row r="110" spans="1:19" x14ac:dyDescent="0.65">
      <c r="B110" s="17" t="str">
        <f ca="1">OFFSET( tbl_scp_product_genre[[#Headers],[key_scp_product_genre]], 0, ROWS( $A$109:A110 )-1 )</f>
        <v>title_jp</v>
      </c>
      <c r="C110" s="17" t="s">
        <v>4596</v>
      </c>
      <c r="D110" s="24" t="s">
        <v>4596</v>
      </c>
      <c r="E110" s="17" t="s">
        <v>21</v>
      </c>
      <c r="F110" s="17">
        <v>20</v>
      </c>
      <c r="G110" s="17" t="str">
        <f>VLOOKUP($E110, sql_type[#All], '&lt;SQL&gt; '!$E$3, FALSE )</f>
        <v>TEXT</v>
      </c>
      <c r="H110" s="17"/>
      <c r="I110" s="17"/>
      <c r="J110" s="17" t="s">
        <v>19</v>
      </c>
      <c r="K110" s="17"/>
      <c r="L110" s="25"/>
      <c r="M110" s="25" t="str" cm="1">
        <f t="array" aca="1" ref="M110" ca="1">"ITM_"&amp;UPPER(RIGHT(OFFSET(D110,S110,0),LEN(OFFSET(D110,S110,0))-4))&amp;"_"&amp;_xlfn.IFNA(_xlfn.IFS(K110="Y","PKEY",L110="Y","F"&amp;UPPER(B110)),UPPER(B110))</f>
        <v>ITM_SCP_PRODUCT_GENRE_TITLE_JP</v>
      </c>
      <c r="N110" s="25" t="str">
        <f ca="1">M110&amp;","&amp;B110&amp;","&amp;OFFSET(G110,0,VLOOKUP($C$5,SQL[#All],2,FALSE) ) &amp;", -- "&amp;D110</f>
        <v>ITM_SCP_PRODUCT_GENRE_TITLE_JP,title_jp,TEXT, -- 日本語名称</v>
      </c>
      <c r="O110" s="25" t="str">
        <f t="shared" ca="1" si="10"/>
        <v>KEY_ITM_SCP_PRODUCT_GENRE_TITLE_JP          : Final[str] = "ITM_SCP_PRODUCT_GENRE_TITLE_JP"         # 日本語名称</v>
      </c>
      <c r="P110" s="25"/>
      <c r="Q110" s="25"/>
      <c r="R110" s="25"/>
      <c r="S110" s="12">
        <v>-5</v>
      </c>
    </row>
    <row r="111" spans="1:19" x14ac:dyDescent="0.65">
      <c r="B111" s="17" t="str">
        <f ca="1">OFFSET( tbl_scp_product_genre[[#Headers],[key_scp_product_genre]], 0, ROWS( $A$109:A111 )-1 )</f>
        <v>title_en</v>
      </c>
      <c r="C111" s="17" t="s">
        <v>4595</v>
      </c>
      <c r="D111" s="24" t="s">
        <v>4595</v>
      </c>
      <c r="E111" s="17" t="s">
        <v>21</v>
      </c>
      <c r="F111" s="17">
        <v>20</v>
      </c>
      <c r="G111" s="17" t="str">
        <f>VLOOKUP($E111, sql_type[#All], '&lt;SQL&gt; '!$E$3, FALSE )</f>
        <v>TEXT</v>
      </c>
      <c r="H111" s="17"/>
      <c r="I111" s="17"/>
      <c r="J111" s="17" t="s">
        <v>28</v>
      </c>
      <c r="K111" s="17"/>
      <c r="L111" s="25"/>
      <c r="M111" s="25" t="str" cm="1">
        <f t="array" aca="1" ref="M111" ca="1">"ITM_"&amp;UPPER(RIGHT(OFFSET(D111,S111,0),LEN(OFFSET(D111,S111,0))-4))&amp;"_"&amp;_xlfn.IFNA(_xlfn.IFS(K111="Y","PKEY",L111="Y","F"&amp;UPPER(B111)),UPPER(B111))</f>
        <v>ITM_SCP_PRODUCT_GENRE_TITLE_EN</v>
      </c>
      <c r="N111" s="25" t="str">
        <f ca="1">M111&amp;","&amp;B111&amp;","&amp;OFFSET(G111,0,VLOOKUP($C$5,SQL[#All],2,FALSE) ) &amp;", -- "&amp;D111</f>
        <v>ITM_SCP_PRODUCT_GENRE_TITLE_EN,title_en,TEXT, -- 英語名称</v>
      </c>
      <c r="O111" s="25" t="str">
        <f t="shared" ca="1" si="10"/>
        <v>KEY_ITM_SCP_PRODUCT_GENRE_TITLE_EN          : Final[str] = "ITM_SCP_PRODUCT_GENRE_TITLE_EN"         # 英語名称</v>
      </c>
      <c r="P111" s="25"/>
      <c r="Q111" s="25"/>
      <c r="R111" s="25"/>
      <c r="S111" s="12">
        <v>-6</v>
      </c>
    </row>
    <row r="112" spans="1:19" x14ac:dyDescent="0.65">
      <c r="B112" s="17" t="str">
        <f ca="1">OFFSET( tbl_scp_product_genre[[#Headers],[key_scp_product_genre]], 0, ROWS( $A$109:A112 )-1 )</f>
        <v>hs_code</v>
      </c>
      <c r="C112" s="17" t="s">
        <v>4695</v>
      </c>
      <c r="D112" s="24" t="s">
        <v>4695</v>
      </c>
      <c r="E112" s="17" t="s">
        <v>24</v>
      </c>
      <c r="F112" s="17"/>
      <c r="G112" s="17" t="str">
        <f>VLOOKUP($E112, sql_type[#All], '&lt;SQL&gt; '!$E$3, FALSE )</f>
        <v>TEXT</v>
      </c>
      <c r="H112" s="17"/>
      <c r="I112" s="17"/>
      <c r="J112" s="17" t="s">
        <v>28</v>
      </c>
      <c r="K112" s="17"/>
      <c r="L112" s="25"/>
      <c r="M112" s="25" t="str" cm="1">
        <f t="array" aca="1" ref="M112" ca="1">"ITM_"&amp;UPPER(RIGHT(OFFSET(D112,S112,0),LEN(OFFSET(D112,S112,0))-4))&amp;"_"&amp;_xlfn.IFNA(_xlfn.IFS(K112="Y","PKEY",L112="Y","F"&amp;UPPER(B112)),UPPER(B112))</f>
        <v>ITM_SCP_PRODUCT_GENRE_HS_CODE</v>
      </c>
      <c r="N112" s="25" t="str">
        <f ca="1">M112&amp;","&amp;B112&amp;","&amp;OFFSET(G112,0,VLOOKUP($C$5,SQL[#All],2,FALSE) ) &amp;", -- "&amp;D112</f>
        <v>ITM_SCP_PRODUCT_GENRE_HS_CODE,hs_code,TEXT, -- HSコード</v>
      </c>
      <c r="O112" s="25" t="str">
        <f t="shared" ca="1" si="10"/>
        <v>KEY_ITM_SCP_PRODUCT_GENRE_HS_CODE           : Final[str] = "ITM_SCP_PRODUCT_GENRE_HS_CODE"          # HSコード</v>
      </c>
      <c r="P112" s="25"/>
      <c r="Q112" s="25"/>
      <c r="R112" s="25"/>
      <c r="S112" s="12">
        <v>-7</v>
      </c>
    </row>
    <row r="113" spans="1:19" x14ac:dyDescent="0.65">
      <c r="B113" s="17"/>
      <c r="C113" s="17"/>
      <c r="D113" s="24"/>
      <c r="E113" s="17"/>
      <c r="F113" s="17"/>
      <c r="G113" s="17"/>
      <c r="H113" s="17"/>
      <c r="I113" s="17"/>
      <c r="J113" s="17"/>
      <c r="K113" s="17"/>
      <c r="L113" s="25"/>
      <c r="M113" s="25"/>
      <c r="N113" s="25"/>
      <c r="O113" s="25"/>
      <c r="P113" s="25"/>
      <c r="Q113" s="25"/>
      <c r="R113" s="25"/>
      <c r="S113" s="12">
        <v>-8</v>
      </c>
    </row>
    <row r="114" spans="1:19" x14ac:dyDescent="0.65">
      <c r="S114" s="12">
        <v>-9</v>
      </c>
    </row>
    <row r="115" spans="1:19" x14ac:dyDescent="0.65">
      <c r="A115" s="12" t="s">
        <v>4648</v>
      </c>
    </row>
    <row r="116" spans="1:19" x14ac:dyDescent="0.65">
      <c r="B116" s="15" t="s">
        <v>2</v>
      </c>
      <c r="C116" s="16" t="s">
        <v>3</v>
      </c>
      <c r="D116" s="17" t="s">
        <v>4677</v>
      </c>
      <c r="N116" s="25" t="str">
        <f>UPPER( D116 ) &amp; "," &amp;D116 &amp; ",,"</f>
        <v>TBL_SCP_SERVICE_GENRE,tbl_scp_service_genre,,</v>
      </c>
      <c r="O116" s="25" t="str">
        <f>LEFT( LEFT("KEY_"&amp;UPPER(D116)&amp;REPT(" ",$O$6),$O$6) &amp; ": Final[str] = """&amp;UPPER(D116)&amp;"""" &amp; REPT(" ",$O$5),$O$5 ) &amp; "# " &amp;D117</f>
        <v>KEY_TBL_SCP_SERVICE_GENRE                   : Final[str] = "TBL_SCP_SERVICE_GENRE"                  # 販売地域テーブル</v>
      </c>
    </row>
    <row r="117" spans="1:19" x14ac:dyDescent="0.65">
      <c r="B117" s="18"/>
      <c r="C117" s="19" t="s">
        <v>4</v>
      </c>
      <c r="D117" s="17" t="s">
        <v>4622</v>
      </c>
    </row>
    <row r="118" spans="1:19" x14ac:dyDescent="0.65">
      <c r="B118" s="20" t="s">
        <v>6</v>
      </c>
      <c r="C118" s="20"/>
      <c r="D118" s="21"/>
      <c r="E118" s="20" t="s">
        <v>7</v>
      </c>
      <c r="F118" s="20"/>
      <c r="G118" s="20"/>
      <c r="H118" s="20"/>
      <c r="I118" s="20"/>
      <c r="J118" s="20" t="s">
        <v>8</v>
      </c>
      <c r="K118" s="20"/>
      <c r="L118" s="20"/>
      <c r="M118" s="20"/>
      <c r="N118" s="20" t="s">
        <v>4514</v>
      </c>
      <c r="O118" s="20"/>
      <c r="P118" s="20"/>
      <c r="Q118" s="20"/>
      <c r="R118" s="20"/>
    </row>
    <row r="119" spans="1:19" x14ac:dyDescent="0.65">
      <c r="B119" s="22" t="s">
        <v>9</v>
      </c>
      <c r="C119" s="22" t="s">
        <v>4</v>
      </c>
      <c r="D119" s="23" t="s">
        <v>10</v>
      </c>
      <c r="E119" s="22" t="s">
        <v>11</v>
      </c>
      <c r="F119" s="22" t="s">
        <v>12</v>
      </c>
      <c r="G119" s="22" t="s">
        <v>4512</v>
      </c>
      <c r="H119" s="22" t="s">
        <v>4515</v>
      </c>
      <c r="I119" s="22" t="s">
        <v>4517</v>
      </c>
      <c r="J119" s="22" t="s">
        <v>13</v>
      </c>
      <c r="K119" s="22" t="s">
        <v>14</v>
      </c>
      <c r="L119" s="22" t="s">
        <v>15</v>
      </c>
      <c r="M119" s="22"/>
      <c r="N119" s="22" t="s">
        <v>4665</v>
      </c>
      <c r="O119" s="22"/>
      <c r="P119" s="22" t="s">
        <v>4513</v>
      </c>
      <c r="Q119" s="22" t="s">
        <v>4516</v>
      </c>
      <c r="R119" s="22" t="s">
        <v>4518</v>
      </c>
    </row>
    <row r="120" spans="1:19" x14ac:dyDescent="0.65">
      <c r="B120" s="17" t="str">
        <f ca="1">OFFSET( tbl_scp_service_genre[[#Headers],[key_scp_service_genre]], 0, ROWS( $A$120:A120 )-1 )</f>
        <v>key_scp_service_genre</v>
      </c>
      <c r="C120" s="17" t="s">
        <v>4617</v>
      </c>
      <c r="D120" s="24" t="s">
        <v>4620</v>
      </c>
      <c r="E120" s="17" t="s">
        <v>18</v>
      </c>
      <c r="F120" s="17">
        <v>4</v>
      </c>
      <c r="G120" s="17" t="str">
        <f>VLOOKUP($E120, sql_type[#All], '&lt;SQL&gt; '!$E$3, FALSE )</f>
        <v>INTEGER</v>
      </c>
      <c r="H120" s="17"/>
      <c r="I120" s="17"/>
      <c r="J120" s="17" t="s">
        <v>19</v>
      </c>
      <c r="K120" s="17" t="s">
        <v>19</v>
      </c>
      <c r="L120" s="25"/>
      <c r="M120" s="25" t="str" cm="1">
        <f t="array" aca="1" ref="M120" ca="1">"ITM_"&amp;UPPER(RIGHT(OFFSET(D120,S120,0),LEN(OFFSET(D120,S120,0))-4))&amp;"_"&amp;_xlfn.IFNA(_xlfn.IFS(K120="Y","PKEY",L120="Y","F"&amp;UPPER(B120)),UPPER(B120))</f>
        <v>ITM_SCP_SERVICE_GENRE_PKEY</v>
      </c>
      <c r="N120" s="25" t="str">
        <f ca="1">M120&amp;","&amp;B120&amp;","&amp;OFFSET(G120,0,VLOOKUP($C$5,SQL[#All],2,FALSE) ) &amp;", -- "&amp;D120</f>
        <v>ITM_SCP_SERVICE_GENRE_PKEY,key_scp_service_genre,INTEGER, -- 製品ジャンルID</v>
      </c>
      <c r="O120" s="25" t="str">
        <f t="shared" ref="O120:O122" ca="1" si="11">LEFT(LEFT("KEY_"&amp;M120&amp;REPT(" ",$O$6),$O$6)&amp;": Final[str] = """&amp;M120&amp;""""&amp;REPT(" ",$O$5),$O$5)&amp;"# "&amp;D120</f>
        <v>KEY_ITM_SCP_SERVICE_GENRE_PKEY              : Final[str] = "ITM_SCP_SERVICE_GENRE_PKEY"             # 製品ジャンルID</v>
      </c>
      <c r="P120" s="25" t="str">
        <f ca="1">$B120 &amp; " " &amp; VLOOKUP($E120, sql_type[#All], '&lt;SQL&gt; '!$E$3, FALSE )&amp; " " &amp; IFERROR( IF($K120="", VLOOKUP(K120, sql_notnull[#All], '&lt;SQL&gt; '!$E$3, FALSE ), VLOOKUP($K120, sql_pk[], '&lt;SQL&gt; '!$E$3, FALSE ) ), "" ) &amp; ", -- "  &amp;$D120</f>
        <v>key_scp_service_genre INTEGER PRIMARY KEY, -- 製品ジャンルID</v>
      </c>
      <c r="Q120" s="25"/>
      <c r="R120" s="25"/>
      <c r="S120" s="12">
        <v>-4</v>
      </c>
    </row>
    <row r="121" spans="1:19" x14ac:dyDescent="0.65">
      <c r="B121" s="17" t="str">
        <f ca="1">OFFSET( tbl_scp_service_genre[[#Headers],[key_scp_service_genre]], 0, ROWS( $A$120:A121 )-1 )</f>
        <v>title_jp</v>
      </c>
      <c r="C121" s="17" t="s">
        <v>4596</v>
      </c>
      <c r="D121" s="24" t="s">
        <v>4596</v>
      </c>
      <c r="E121" s="17" t="s">
        <v>21</v>
      </c>
      <c r="F121" s="17">
        <v>20</v>
      </c>
      <c r="G121" s="17" t="str">
        <f>VLOOKUP($E121, sql_type[#All], '&lt;SQL&gt; '!$E$3, FALSE )</f>
        <v>TEXT</v>
      </c>
      <c r="H121" s="17"/>
      <c r="I121" s="17"/>
      <c r="J121" s="17" t="s">
        <v>19</v>
      </c>
      <c r="K121" s="17"/>
      <c r="L121" s="25"/>
      <c r="M121" s="25" t="str" cm="1">
        <f t="array" aca="1" ref="M121" ca="1">"ITM_"&amp;UPPER(RIGHT(OFFSET(D121,S121,0),LEN(OFFSET(D121,S121,0))-4))&amp;"_"&amp;_xlfn.IFNA(_xlfn.IFS(K121="Y","PKEY",L121="Y","F"&amp;UPPER(B121)),UPPER(B121))</f>
        <v>ITM_SCP_SERVICE_GENRE_TITLE_JP</v>
      </c>
      <c r="N121" s="25" t="str">
        <f ca="1">M121&amp;","&amp;B121&amp;","&amp;OFFSET(G121,0,VLOOKUP($C$5,SQL[#All],2,FALSE) ) &amp;", -- "&amp;D121</f>
        <v>ITM_SCP_SERVICE_GENRE_TITLE_JP,title_jp,TEXT, -- 日本語名称</v>
      </c>
      <c r="O121" s="25" t="str">
        <f t="shared" ca="1" si="11"/>
        <v>KEY_ITM_SCP_SERVICE_GENRE_TITLE_JP          : Final[str] = "ITM_SCP_SERVICE_GENRE_TITLE_JP"         # 日本語名称</v>
      </c>
      <c r="P121" s="25"/>
      <c r="Q121" s="25"/>
      <c r="R121" s="25"/>
      <c r="S121" s="12">
        <v>-5</v>
      </c>
    </row>
    <row r="122" spans="1:19" x14ac:dyDescent="0.65">
      <c r="B122" s="17" t="str">
        <f ca="1">OFFSET( tbl_scp_service_genre[[#Headers],[key_scp_service_genre]], 0, ROWS( $A$120:A122 )-1 )</f>
        <v>title_en</v>
      </c>
      <c r="C122" s="17" t="s">
        <v>4595</v>
      </c>
      <c r="D122" s="24" t="s">
        <v>4595</v>
      </c>
      <c r="E122" s="17" t="s">
        <v>21</v>
      </c>
      <c r="F122" s="17">
        <v>20</v>
      </c>
      <c r="G122" s="17" t="str">
        <f>VLOOKUP($E122, sql_type[#All], '&lt;SQL&gt; '!$E$3, FALSE )</f>
        <v>TEXT</v>
      </c>
      <c r="H122" s="17"/>
      <c r="I122" s="17"/>
      <c r="J122" s="17" t="s">
        <v>28</v>
      </c>
      <c r="K122" s="17"/>
      <c r="L122" s="25"/>
      <c r="M122" s="25" t="str" cm="1">
        <f t="array" aca="1" ref="M122" ca="1">"ITM_"&amp;UPPER(RIGHT(OFFSET(D122,S122,0),LEN(OFFSET(D122,S122,0))-4))&amp;"_"&amp;_xlfn.IFNA(_xlfn.IFS(K122="Y","PKEY",L122="Y","F"&amp;UPPER(B122)),UPPER(B122))</f>
        <v>ITM_SCP_SERVICE_GENRE_TITLE_EN</v>
      </c>
      <c r="N122" s="25" t="str">
        <f ca="1">M122&amp;","&amp;B122&amp;","&amp;OFFSET(G122,0,VLOOKUP($C$5,SQL[#All],2,FALSE) ) &amp;", -- "&amp;D122</f>
        <v>ITM_SCP_SERVICE_GENRE_TITLE_EN,title_en,TEXT, -- 英語名称</v>
      </c>
      <c r="O122" s="25" t="str">
        <f t="shared" ca="1" si="11"/>
        <v>KEY_ITM_SCP_SERVICE_GENRE_TITLE_EN          : Final[str] = "ITM_SCP_SERVICE_GENRE_TITLE_EN"         # 英語名称</v>
      </c>
      <c r="P122" s="25"/>
      <c r="Q122" s="25"/>
      <c r="R122" s="25"/>
      <c r="S122" s="12">
        <v>-6</v>
      </c>
    </row>
    <row r="123" spans="1:19" x14ac:dyDescent="0.65">
      <c r="B123" s="17"/>
      <c r="C123" s="17"/>
      <c r="D123" s="24"/>
      <c r="E123" s="17"/>
      <c r="F123" s="17"/>
      <c r="G123" s="17"/>
      <c r="H123" s="17"/>
      <c r="I123" s="17"/>
      <c r="J123" s="17"/>
      <c r="K123" s="17"/>
      <c r="L123" s="25"/>
      <c r="M123" s="25"/>
      <c r="N123" s="25"/>
      <c r="O123" s="25"/>
      <c r="P123" s="25"/>
      <c r="Q123" s="25"/>
      <c r="R123" s="25"/>
      <c r="S123" s="12">
        <v>-7</v>
      </c>
    </row>
    <row r="124" spans="1:19" x14ac:dyDescent="0.65">
      <c r="S124" s="12">
        <v>-8</v>
      </c>
    </row>
    <row r="125" spans="1:19" x14ac:dyDescent="0.65">
      <c r="A125" s="12" t="s">
        <v>4616</v>
      </c>
      <c r="S125" s="12">
        <v>-9</v>
      </c>
    </row>
    <row r="126" spans="1:19" x14ac:dyDescent="0.65">
      <c r="B126" s="15" t="s">
        <v>2</v>
      </c>
      <c r="C126" s="16" t="s">
        <v>3</v>
      </c>
      <c r="D126" s="17" t="s">
        <v>4676</v>
      </c>
      <c r="N126" s="25" t="str">
        <f>UPPER( D126 ) &amp; "," &amp;D126 &amp; ",,"</f>
        <v>TBL_SCP_EQUIPMENT,tbl_scp_equipment,,</v>
      </c>
      <c r="O126" s="25" t="str">
        <f>LEFT( LEFT("KEY_"&amp;UPPER(D126)&amp;REPT(" ",$O$6),$O$6) &amp; ": Final[str] = """&amp;UPPER(D126)&amp;"""" &amp; REPT(" ",$O$5),$O$5 ) &amp; "# " &amp;D127</f>
        <v>KEY_TBL_SCP_EQUIPMENT                       : Final[str] = "TBL_SCP_EQUIPMENT"                      # 装備テーブル</v>
      </c>
    </row>
    <row r="127" spans="1:19" x14ac:dyDescent="0.65">
      <c r="B127" s="18"/>
      <c r="C127" s="19" t="s">
        <v>4</v>
      </c>
      <c r="D127" s="17" t="s">
        <v>4623</v>
      </c>
    </row>
    <row r="128" spans="1:19" x14ac:dyDescent="0.65">
      <c r="B128" s="20" t="s">
        <v>6</v>
      </c>
      <c r="C128" s="20"/>
      <c r="D128" s="21"/>
      <c r="E128" s="20" t="s">
        <v>7</v>
      </c>
      <c r="F128" s="20"/>
      <c r="G128" s="20"/>
      <c r="H128" s="20"/>
      <c r="I128" s="20"/>
      <c r="J128" s="20" t="s">
        <v>8</v>
      </c>
      <c r="K128" s="20"/>
      <c r="L128" s="20"/>
      <c r="M128" s="20"/>
      <c r="N128" s="20" t="s">
        <v>4514</v>
      </c>
      <c r="O128" s="20"/>
      <c r="P128" s="20"/>
      <c r="Q128" s="20"/>
      <c r="R128" s="20"/>
    </row>
    <row r="129" spans="1:19" x14ac:dyDescent="0.65">
      <c r="B129" s="22" t="s">
        <v>9</v>
      </c>
      <c r="C129" s="22" t="s">
        <v>4</v>
      </c>
      <c r="D129" s="23" t="s">
        <v>10</v>
      </c>
      <c r="E129" s="22" t="s">
        <v>11</v>
      </c>
      <c r="F129" s="22" t="s">
        <v>12</v>
      </c>
      <c r="G129" s="22" t="s">
        <v>4512</v>
      </c>
      <c r="H129" s="22" t="s">
        <v>4515</v>
      </c>
      <c r="I129" s="22" t="s">
        <v>4517</v>
      </c>
      <c r="J129" s="22" t="s">
        <v>13</v>
      </c>
      <c r="K129" s="22" t="s">
        <v>14</v>
      </c>
      <c r="L129" s="22" t="s">
        <v>15</v>
      </c>
      <c r="M129" s="22"/>
      <c r="N129" s="22" t="s">
        <v>4665</v>
      </c>
      <c r="O129" s="22"/>
      <c r="P129" s="22" t="s">
        <v>4513</v>
      </c>
      <c r="Q129" s="22" t="s">
        <v>4516</v>
      </c>
      <c r="R129" s="22" t="s">
        <v>4518</v>
      </c>
    </row>
    <row r="130" spans="1:19" x14ac:dyDescent="0.65">
      <c r="B130" s="17" t="str">
        <f ca="1">OFFSET(tbl_scp_equipment[[#Headers],[key_scp_equipment]], 0, ROWS( $A$130:A130 )-1 )</f>
        <v>key_scp_equipment</v>
      </c>
      <c r="C130" s="17" t="s">
        <v>4619</v>
      </c>
      <c r="D130" s="25" t="s">
        <v>4619</v>
      </c>
      <c r="E130" s="17" t="s">
        <v>18</v>
      </c>
      <c r="F130" s="17">
        <v>4</v>
      </c>
      <c r="G130" s="17" t="str">
        <f>VLOOKUP($E130, sql_type[#All], '&lt;SQL&gt; '!$E$3, FALSE )</f>
        <v>INTEGER</v>
      </c>
      <c r="H130" s="17"/>
      <c r="I130" s="17"/>
      <c r="J130" s="17" t="s">
        <v>19</v>
      </c>
      <c r="K130" s="17" t="s">
        <v>19</v>
      </c>
      <c r="L130" s="25"/>
      <c r="M130" s="25" t="str" cm="1">
        <f t="array" aca="1" ref="M130" ca="1">"ITM_"&amp;UPPER(RIGHT(OFFSET(D130,S130,0),LEN(OFFSET(D130,S130,0))-4))&amp;"_"&amp;_xlfn.IFNA(_xlfn.IFS(K130="Y","PKEY",L130="Y","F"&amp;UPPER(B130)),UPPER(B130))</f>
        <v>ITM_SCP_EQUIPMENT_PKEY</v>
      </c>
      <c r="N130" s="25" t="str">
        <f ca="1">M130&amp;","&amp;B130&amp;","&amp;OFFSET(G130,0,VLOOKUP($C$5,SQL[#All],2,FALSE) ) &amp;", -- "&amp;D130</f>
        <v>ITM_SCP_EQUIPMENT_PKEY,key_scp_equipment,INTEGER, -- 装備ID</v>
      </c>
      <c r="O130" s="25" t="str">
        <f ca="1">LEFT(LEFT("KEY_"&amp;M130&amp;REPT(" ",$O$6),$O$6)&amp;": Final[str] = """&amp;M130&amp;""""&amp;REPT(" ",$O$5),$O$5)&amp;"# "&amp;D130</f>
        <v>KEY_ITM_SCP_EQUIPMENT_PKEY                  : Final[str] = "ITM_SCP_EQUIPMENT_PKEY"                 # 装備ID</v>
      </c>
      <c r="P130" s="25" t="str">
        <f ca="1">$B130 &amp; " " &amp; VLOOKUP($E130, sql_type[#All], '&lt;SQL&gt; '!$E$3, FALSE )&amp; " " &amp; IFERROR( IF($K130="", VLOOKUP(K130, sql_notnull[#All], '&lt;SQL&gt; '!$E$3, FALSE ), VLOOKUP($K130, sql_pk[], '&lt;SQL&gt; '!$E$3, FALSE ) ), "" ) &amp; ", -- "  &amp;$D130</f>
        <v>key_scp_equipment INTEGER PRIMARY KEY, -- 装備ID</v>
      </c>
      <c r="Q130" s="25"/>
      <c r="R130" s="25"/>
      <c r="S130" s="12">
        <v>-4</v>
      </c>
    </row>
    <row r="131" spans="1:19" x14ac:dyDescent="0.65">
      <c r="B131" s="17" t="str">
        <f ca="1">OFFSET(tbl_scp_equipment[[#Headers],[key_scp_equipment]], 0, ROWS( $A$130:A131 )-1 )</f>
        <v>title_jp</v>
      </c>
      <c r="C131" s="17" t="s">
        <v>4596</v>
      </c>
      <c r="D131" s="25" t="s">
        <v>4596</v>
      </c>
      <c r="E131" s="17" t="s">
        <v>21</v>
      </c>
      <c r="F131" s="17">
        <v>20</v>
      </c>
      <c r="G131" s="17" t="str">
        <f>VLOOKUP($E131, sql_type[#All], '&lt;SQL&gt; '!$E$3, FALSE )</f>
        <v>TEXT</v>
      </c>
      <c r="H131" s="17"/>
      <c r="I131" s="17"/>
      <c r="J131" s="17" t="s">
        <v>19</v>
      </c>
      <c r="K131" s="17"/>
      <c r="L131" s="25"/>
      <c r="M131" s="25" t="str" cm="1">
        <f t="array" aca="1" ref="M131" ca="1">"ITM_"&amp;UPPER(RIGHT(OFFSET(D131,S131,0),LEN(OFFSET(D131,S131,0))-4))&amp;"_"&amp;_xlfn.IFNA(_xlfn.IFS(K131="Y","PKEY",L131="Y","F"&amp;UPPER(B131)),UPPER(B131))</f>
        <v>ITM_SCP_EQUIPMENT_TITLE_JP</v>
      </c>
      <c r="N131" s="25" t="str">
        <f ca="1">M131&amp;","&amp;B131&amp;","&amp;OFFSET(G131,0,VLOOKUP($C$5,SQL[#All],2,FALSE) ) &amp;", -- "&amp;D131</f>
        <v>ITM_SCP_EQUIPMENT_TITLE_JP,title_jp,TEXT, -- 日本語名称</v>
      </c>
      <c r="O131" s="25" t="str">
        <f ca="1">LEFT(LEFT("KEY_"&amp;M131&amp;REPT(" ",$O$6),$O$6)&amp;": Final[str] = """&amp;M131&amp;""""&amp;REPT(" ",$O$5),$O$5)&amp;"# "&amp;D131</f>
        <v>KEY_ITM_SCP_EQUIPMENT_TITLE_JP              : Final[str] = "ITM_SCP_EQUIPMENT_TITLE_JP"             # 日本語名称</v>
      </c>
      <c r="P131" s="25"/>
      <c r="Q131" s="25"/>
      <c r="R131" s="25"/>
      <c r="S131" s="12">
        <v>-5</v>
      </c>
    </row>
    <row r="132" spans="1:19" x14ac:dyDescent="0.65">
      <c r="B132" s="17" t="str">
        <f ca="1">OFFSET(tbl_scp_equipment[[#Headers],[key_scp_equipment]], 0, ROWS( $A$130:A132 )-1 )</f>
        <v>title_en</v>
      </c>
      <c r="C132" s="17" t="s">
        <v>4595</v>
      </c>
      <c r="D132" s="25" t="s">
        <v>4595</v>
      </c>
      <c r="E132" s="17" t="s">
        <v>21</v>
      </c>
      <c r="F132" s="17">
        <v>20</v>
      </c>
      <c r="G132" s="17" t="str">
        <f>VLOOKUP($E132, sql_type[#All], '&lt;SQL&gt; '!$E$3, FALSE )</f>
        <v>TEXT</v>
      </c>
      <c r="H132" s="17"/>
      <c r="I132" s="17"/>
      <c r="J132" s="17" t="s">
        <v>28</v>
      </c>
      <c r="K132" s="17"/>
      <c r="L132" s="25"/>
      <c r="M132" s="25" t="str" cm="1">
        <f t="array" aca="1" ref="M132" ca="1">"ITM_"&amp;UPPER(RIGHT(OFFSET(D132,S132,0),LEN(OFFSET(D132,S132,0))-4))&amp;"_"&amp;_xlfn.IFNA(_xlfn.IFS(K132="Y","PKEY",L132="Y","F"&amp;UPPER(B132)),UPPER(B132))</f>
        <v>ITM_SCP_EQUIPMENT_TITLE_EN</v>
      </c>
      <c r="N132" s="25" t="str">
        <f ca="1">M132&amp;","&amp;B132&amp;","&amp;OFFSET(G132,0,VLOOKUP($C$5,SQL[#All],2,FALSE) ) &amp;", -- "&amp;D132</f>
        <v>ITM_SCP_EQUIPMENT_TITLE_EN,title_en,TEXT, -- 英語名称</v>
      </c>
      <c r="O132" s="25" t="str">
        <f ca="1">LEFT(LEFT("KEY_"&amp;M132&amp;REPT(" ",$O$6),$O$6)&amp;": Final[str] = """&amp;M132&amp;""""&amp;REPT(" ",$O$5),$O$5)&amp;"# "&amp;D132</f>
        <v>KEY_ITM_SCP_EQUIPMENT_TITLE_EN              : Final[str] = "ITM_SCP_EQUIPMENT_TITLE_EN"             # 英語名称</v>
      </c>
      <c r="P132" s="25"/>
      <c r="Q132" s="25"/>
      <c r="R132" s="25"/>
      <c r="S132" s="12">
        <v>-6</v>
      </c>
    </row>
    <row r="133" spans="1:19" x14ac:dyDescent="0.65">
      <c r="B133" s="17"/>
      <c r="C133" s="17"/>
      <c r="D133" s="24"/>
      <c r="E133" s="17"/>
      <c r="F133" s="17"/>
      <c r="G133" s="17"/>
      <c r="H133" s="17"/>
      <c r="I133" s="17"/>
      <c r="J133" s="17"/>
      <c r="K133" s="17"/>
      <c r="L133" s="25"/>
      <c r="M133" s="25"/>
      <c r="N133" s="25"/>
      <c r="O133" s="25"/>
      <c r="P133" s="25"/>
      <c r="Q133" s="25"/>
      <c r="R133" s="25"/>
      <c r="S133" s="12">
        <v>-7</v>
      </c>
    </row>
    <row r="134" spans="1:19" x14ac:dyDescent="0.65">
      <c r="S134" s="12">
        <v>-8</v>
      </c>
    </row>
    <row r="135" spans="1:19" x14ac:dyDescent="0.65">
      <c r="A135" s="12" t="s">
        <v>4643</v>
      </c>
      <c r="S135" s="12">
        <v>-9</v>
      </c>
    </row>
    <row r="136" spans="1:19" x14ac:dyDescent="0.65">
      <c r="B136" s="15" t="s">
        <v>2</v>
      </c>
      <c r="C136" s="16" t="s">
        <v>3</v>
      </c>
      <c r="D136" s="17" t="s">
        <v>4685</v>
      </c>
      <c r="N136" s="25" t="str">
        <f>UPPER( D136 ) &amp; "," &amp;D136 &amp; ",,"</f>
        <v>TBL_SCP_PII,tbl_scp_pii,,</v>
      </c>
      <c r="O136" s="25" t="str">
        <f>LEFT( LEFT("KEY_"&amp;UPPER(D136)&amp;REPT(" ",$O$6),$O$6) &amp; ": Final[str] = """&amp;UPPER(D136)&amp;"""" &amp; REPT(" ",$O$5),$O$5 ) &amp; "# " &amp;D137</f>
        <v>KEY_TBL_SCP_PII                             : Final[str] = "TBL_SCP_PII"                            # 装備テーブル</v>
      </c>
    </row>
    <row r="137" spans="1:19" x14ac:dyDescent="0.65">
      <c r="B137" s="18"/>
      <c r="C137" s="19" t="s">
        <v>4</v>
      </c>
      <c r="D137" s="17" t="s">
        <v>4623</v>
      </c>
    </row>
    <row r="138" spans="1:19" x14ac:dyDescent="0.65">
      <c r="B138" s="20" t="s">
        <v>6</v>
      </c>
      <c r="C138" s="20"/>
      <c r="D138" s="21"/>
      <c r="E138" s="20" t="s">
        <v>7</v>
      </c>
      <c r="F138" s="20"/>
      <c r="G138" s="20"/>
      <c r="H138" s="20"/>
      <c r="I138" s="20"/>
      <c r="J138" s="20" t="s">
        <v>8</v>
      </c>
      <c r="K138" s="20"/>
      <c r="L138" s="20"/>
      <c r="M138" s="20"/>
      <c r="N138" s="20" t="s">
        <v>4514</v>
      </c>
      <c r="O138" s="20"/>
      <c r="P138" s="20"/>
      <c r="Q138" s="20"/>
      <c r="R138" s="20"/>
    </row>
    <row r="139" spans="1:19" x14ac:dyDescent="0.65">
      <c r="B139" s="22" t="s">
        <v>9</v>
      </c>
      <c r="C139" s="22" t="s">
        <v>4</v>
      </c>
      <c r="D139" s="23" t="s">
        <v>10</v>
      </c>
      <c r="E139" s="22" t="s">
        <v>11</v>
      </c>
      <c r="F139" s="22" t="s">
        <v>12</v>
      </c>
      <c r="G139" s="22" t="s">
        <v>4512</v>
      </c>
      <c r="H139" s="22" t="s">
        <v>4515</v>
      </c>
      <c r="I139" s="22" t="s">
        <v>4517</v>
      </c>
      <c r="J139" s="22" t="s">
        <v>13</v>
      </c>
      <c r="K139" s="22" t="s">
        <v>14</v>
      </c>
      <c r="L139" s="22" t="s">
        <v>15</v>
      </c>
      <c r="M139" s="22"/>
      <c r="N139" s="22" t="s">
        <v>4665</v>
      </c>
      <c r="O139" s="22"/>
      <c r="P139" s="22" t="s">
        <v>4513</v>
      </c>
      <c r="Q139" s="22" t="s">
        <v>4516</v>
      </c>
      <c r="R139" s="22" t="s">
        <v>4518</v>
      </c>
    </row>
    <row r="140" spans="1:19" x14ac:dyDescent="0.65">
      <c r="B140" s="17" t="str">
        <f ca="1">OFFSET( tbl_scp_equipment20[[#Headers],[key_scp_pii]], 0, ROWS( $A$140:A140 )-1 )</f>
        <v>key_scp_pii</v>
      </c>
      <c r="C140" s="17" t="s">
        <v>4619</v>
      </c>
      <c r="D140" s="25" t="s">
        <v>4619</v>
      </c>
      <c r="E140" s="17" t="s">
        <v>18</v>
      </c>
      <c r="F140" s="17">
        <v>4</v>
      </c>
      <c r="G140" s="17" t="str">
        <f>VLOOKUP($E140, sql_type[#All], '&lt;SQL&gt; '!$E$3, FALSE )</f>
        <v>INTEGER</v>
      </c>
      <c r="H140" s="17"/>
      <c r="I140" s="17"/>
      <c r="J140" s="17" t="s">
        <v>19</v>
      </c>
      <c r="K140" s="17" t="s">
        <v>19</v>
      </c>
      <c r="L140" s="25"/>
      <c r="M140" s="25" t="str" cm="1">
        <f t="array" aca="1" ref="M140" ca="1">"ITM_"&amp;UPPER(RIGHT(OFFSET(D140,S140,0),LEN(OFFSET(D140,S140,0))-4))&amp;"_"&amp;_xlfn.IFNA(_xlfn.IFS(K140="Y","PKEY",L140="Y","F"&amp;UPPER(B140)),UPPER(B140))</f>
        <v>ITM_SCP_PII_PKEY</v>
      </c>
      <c r="N140" s="25" t="str">
        <f ca="1">M140&amp;","&amp;B140&amp;","&amp;OFFSET(G140,0,VLOOKUP($C$5,SQL[#All],2,FALSE) ) &amp;", -- "&amp;D140</f>
        <v>ITM_SCP_PII_PKEY,key_scp_pii,INTEGER, -- 装備ID</v>
      </c>
      <c r="O140" s="25" t="str">
        <f t="shared" ref="O140:O142" ca="1" si="12">LEFT(LEFT("KEY_"&amp;M140&amp;REPT(" ",$O$6),$O$6)&amp;": Final[str] = """&amp;M140&amp;""""&amp;REPT(" ",$O$5),$O$5)&amp;"# "&amp;D140</f>
        <v>KEY_ITM_SCP_PII_PKEY                        : Final[str] = "ITM_SCP_PII_PKEY"                       # 装備ID</v>
      </c>
      <c r="P140" s="25" t="str">
        <f ca="1">$B140 &amp; " " &amp; VLOOKUP($E140, sql_type[#All], '&lt;SQL&gt; '!$E$3, FALSE )&amp; " " &amp; IFERROR( IF($K140="", VLOOKUP(K140, sql_notnull[#All], '&lt;SQL&gt; '!$E$3, FALSE ), VLOOKUP($K140, sql_pk[], '&lt;SQL&gt; '!$E$3, FALSE ) ), "" ) &amp; ", -- "  &amp;$D140</f>
        <v>key_scp_pii INTEGER PRIMARY KEY, -- 装備ID</v>
      </c>
      <c r="Q140" s="25"/>
      <c r="R140" s="25"/>
      <c r="S140" s="12">
        <v>-4</v>
      </c>
    </row>
    <row r="141" spans="1:19" x14ac:dyDescent="0.65">
      <c r="B141" s="17" t="str">
        <f ca="1">OFFSET( tbl_scp_equipment20[[#Headers],[key_scp_pii]], 0, ROWS( $A$140:A141 )-1 )</f>
        <v>title_jp</v>
      </c>
      <c r="C141" s="17" t="s">
        <v>4596</v>
      </c>
      <c r="D141" s="25" t="s">
        <v>4596</v>
      </c>
      <c r="E141" s="17" t="s">
        <v>21</v>
      </c>
      <c r="F141" s="17">
        <v>20</v>
      </c>
      <c r="G141" s="17" t="str">
        <f>VLOOKUP($E141, sql_type[#All], '&lt;SQL&gt; '!$E$3, FALSE )</f>
        <v>TEXT</v>
      </c>
      <c r="H141" s="17"/>
      <c r="I141" s="17"/>
      <c r="J141" s="17" t="s">
        <v>19</v>
      </c>
      <c r="K141" s="17"/>
      <c r="L141" s="25"/>
      <c r="M141" s="25" t="str" cm="1">
        <f t="array" aca="1" ref="M141" ca="1">"ITM_"&amp;UPPER(RIGHT(OFFSET(D141,S141,0),LEN(OFFSET(D141,S141,0))-4))&amp;"_"&amp;_xlfn.IFNA(_xlfn.IFS(K141="Y","PKEY",L141="Y","F"&amp;UPPER(B141)),UPPER(B141))</f>
        <v>ITM_SCP_PII_TITLE_JP</v>
      </c>
      <c r="N141" s="25" t="str">
        <f ca="1">M141&amp;","&amp;B141&amp;","&amp;OFFSET(G141,0,VLOOKUP($C$5,SQL[#All],2,FALSE) ) &amp;", -- "&amp;D141</f>
        <v>ITM_SCP_PII_TITLE_JP,title_jp,TEXT, -- 日本語名称</v>
      </c>
      <c r="O141" s="25" t="str">
        <f t="shared" ca="1" si="12"/>
        <v>KEY_ITM_SCP_PII_TITLE_JP                    : Final[str] = "ITM_SCP_PII_TITLE_JP"                   # 日本語名称</v>
      </c>
      <c r="P141" s="25"/>
      <c r="Q141" s="25"/>
      <c r="R141" s="25"/>
      <c r="S141" s="12">
        <v>-5</v>
      </c>
    </row>
    <row r="142" spans="1:19" x14ac:dyDescent="0.65">
      <c r="B142" s="17" t="str">
        <f ca="1">OFFSET( tbl_scp_equipment20[[#Headers],[key_scp_pii]], 0, ROWS( $A$140:A142 )-1 )</f>
        <v>title_en</v>
      </c>
      <c r="C142" s="17" t="s">
        <v>4595</v>
      </c>
      <c r="D142" s="25" t="s">
        <v>4595</v>
      </c>
      <c r="E142" s="17" t="s">
        <v>21</v>
      </c>
      <c r="F142" s="17">
        <v>20</v>
      </c>
      <c r="G142" s="17" t="str">
        <f>VLOOKUP($E142, sql_type[#All], '&lt;SQL&gt; '!$E$3, FALSE )</f>
        <v>TEXT</v>
      </c>
      <c r="H142" s="17"/>
      <c r="I142" s="17"/>
      <c r="J142" s="17" t="s">
        <v>28</v>
      </c>
      <c r="K142" s="17"/>
      <c r="L142" s="25"/>
      <c r="M142" s="25" t="str" cm="1">
        <f t="array" aca="1" ref="M142" ca="1">"ITM_"&amp;UPPER(RIGHT(OFFSET(D142,S142,0),LEN(OFFSET(D142,S142,0))-4))&amp;"_"&amp;_xlfn.IFNA(_xlfn.IFS(K142="Y","PKEY",L142="Y","F"&amp;UPPER(B142)),UPPER(B142))</f>
        <v>ITM_SCP_PII_TITLE_EN</v>
      </c>
      <c r="N142" s="25" t="str">
        <f ca="1">M142&amp;","&amp;B142&amp;","&amp;OFFSET(G142,0,VLOOKUP($C$5,SQL[#All],2,FALSE) ) &amp;", -- "&amp;D142</f>
        <v>ITM_SCP_PII_TITLE_EN,title_en,TEXT, -- 英語名称</v>
      </c>
      <c r="O142" s="25" t="str">
        <f t="shared" ca="1" si="12"/>
        <v>KEY_ITM_SCP_PII_TITLE_EN                    : Final[str] = "ITM_SCP_PII_TITLE_EN"                   # 英語名称</v>
      </c>
      <c r="P142" s="25"/>
      <c r="Q142" s="25"/>
      <c r="R142" s="25"/>
      <c r="S142" s="12">
        <v>-6</v>
      </c>
    </row>
    <row r="143" spans="1:19" x14ac:dyDescent="0.65">
      <c r="B143" s="17"/>
      <c r="C143" s="17"/>
      <c r="D143" s="24"/>
      <c r="E143" s="17"/>
      <c r="F143" s="17"/>
      <c r="G143" s="17"/>
      <c r="H143" s="17"/>
      <c r="I143" s="17"/>
      <c r="J143" s="17"/>
      <c r="K143" s="17"/>
      <c r="L143" s="25"/>
      <c r="M143" s="25"/>
      <c r="N143" s="25"/>
      <c r="O143" s="25"/>
      <c r="P143" s="25"/>
      <c r="Q143" s="25"/>
      <c r="R143" s="25"/>
      <c r="S143" s="12">
        <v>-7</v>
      </c>
    </row>
    <row r="144" spans="1:19" x14ac:dyDescent="0.65">
      <c r="S144" s="12">
        <v>-8</v>
      </c>
    </row>
    <row r="145" spans="1:19" x14ac:dyDescent="0.65">
      <c r="A145" s="12" t="s">
        <v>4628</v>
      </c>
      <c r="S145" s="12">
        <v>-9</v>
      </c>
    </row>
    <row r="146" spans="1:19" x14ac:dyDescent="0.65">
      <c r="B146" s="15" t="s">
        <v>2</v>
      </c>
      <c r="C146" s="16" t="s">
        <v>3</v>
      </c>
      <c r="D146" s="17" t="s">
        <v>4675</v>
      </c>
      <c r="N146" s="25" t="str">
        <f>UPPER( D146 ) &amp; "," &amp;D146 &amp; ",,"</f>
        <v>TBL_SCP_DESIGN_DOMAIN,tbl_scp_design_domain,,</v>
      </c>
      <c r="O146" s="25" t="str">
        <f>LEFT( LEFT("KEY_"&amp;UPPER(D146)&amp;REPT(" ",$O$6),$O$6) &amp; ": Final[str] = """&amp;UPPER(D146)&amp;"""" &amp; REPT(" ",$O$5),$O$5 ) &amp; "# " &amp;D147</f>
        <v>KEY_TBL_SCP_DESIGN_DOMAIN                   : Final[str] = "TBL_SCP_DESIGN_DOMAIN"                  # 設計領域テーブル</v>
      </c>
    </row>
    <row r="147" spans="1:19" x14ac:dyDescent="0.65">
      <c r="B147" s="18"/>
      <c r="C147" s="19" t="s">
        <v>4</v>
      </c>
      <c r="D147" s="17" t="s">
        <v>4621</v>
      </c>
    </row>
    <row r="148" spans="1:19" x14ac:dyDescent="0.65">
      <c r="B148" s="20" t="s">
        <v>6</v>
      </c>
      <c r="C148" s="20"/>
      <c r="D148" s="21"/>
      <c r="E148" s="20" t="s">
        <v>7</v>
      </c>
      <c r="F148" s="20"/>
      <c r="G148" s="20"/>
      <c r="H148" s="20"/>
      <c r="I148" s="20"/>
      <c r="J148" s="20" t="s">
        <v>8</v>
      </c>
      <c r="K148" s="20"/>
      <c r="L148" s="20"/>
      <c r="M148" s="20"/>
      <c r="N148" s="20" t="s">
        <v>4514</v>
      </c>
      <c r="O148" s="20"/>
      <c r="P148" s="20"/>
      <c r="Q148" s="20"/>
      <c r="R148" s="20"/>
    </row>
    <row r="149" spans="1:19" x14ac:dyDescent="0.65">
      <c r="B149" s="22" t="s">
        <v>9</v>
      </c>
      <c r="C149" s="22" t="s">
        <v>4</v>
      </c>
      <c r="D149" s="23" t="s">
        <v>10</v>
      </c>
      <c r="E149" s="22" t="s">
        <v>11</v>
      </c>
      <c r="F149" s="22" t="s">
        <v>12</v>
      </c>
      <c r="G149" s="22" t="s">
        <v>4512</v>
      </c>
      <c r="H149" s="22" t="s">
        <v>4515</v>
      </c>
      <c r="I149" s="22" t="s">
        <v>4517</v>
      </c>
      <c r="J149" s="22" t="s">
        <v>13</v>
      </c>
      <c r="K149" s="22" t="s">
        <v>14</v>
      </c>
      <c r="L149" s="22" t="s">
        <v>15</v>
      </c>
      <c r="M149" s="22"/>
      <c r="N149" s="22" t="s">
        <v>4665</v>
      </c>
      <c r="O149" s="22"/>
      <c r="P149" s="22" t="s">
        <v>4513</v>
      </c>
      <c r="Q149" s="22" t="s">
        <v>4516</v>
      </c>
      <c r="R149" s="22" t="s">
        <v>4518</v>
      </c>
    </row>
    <row r="150" spans="1:19" x14ac:dyDescent="0.65">
      <c r="B150" s="17" t="str">
        <f ca="1">OFFSET( tbl_scp_design_domain[[#Headers],[key_scp_design_domain]], 0, ROWS( $A$150:A150 )-1 )</f>
        <v>key_scp_design_domain</v>
      </c>
      <c r="C150" s="17" t="s">
        <v>4624</v>
      </c>
      <c r="D150" s="24" t="s">
        <v>4624</v>
      </c>
      <c r="E150" s="17" t="s">
        <v>18</v>
      </c>
      <c r="F150" s="17">
        <v>4</v>
      </c>
      <c r="G150" s="17" t="str">
        <f>VLOOKUP($E150, sql_type[#All], '&lt;SQL&gt; '!$E$3, FALSE )</f>
        <v>INTEGER</v>
      </c>
      <c r="H150" s="17"/>
      <c r="I150" s="17"/>
      <c r="J150" s="17" t="s">
        <v>19</v>
      </c>
      <c r="K150" s="17" t="s">
        <v>19</v>
      </c>
      <c r="L150" s="25"/>
      <c r="M150" s="25" t="str" cm="1">
        <f t="array" aca="1" ref="M150" ca="1">"ITM_"&amp;UPPER(RIGHT(OFFSET(D150,S150,0),LEN(OFFSET(D150,S150,0))-4))&amp;"_"&amp;_xlfn.IFNA(_xlfn.IFS(K150="Y","PKEY",L150="Y","F"&amp;UPPER(B150)),UPPER(B150))</f>
        <v>ITM_SCP_DESIGN_DOMAIN_PKEY</v>
      </c>
      <c r="N150" s="25" t="str">
        <f ca="1">M150&amp;","&amp;B150&amp;","&amp;OFFSET(G150,0,VLOOKUP($C$5,SQL[#All],2,FALSE) ) &amp;", -- "&amp;D150</f>
        <v>ITM_SCP_DESIGN_DOMAIN_PKEY,key_scp_design_domain,INTEGER, -- 設計領域ID</v>
      </c>
      <c r="O150" s="25" t="str">
        <f t="shared" ref="O150:O152" ca="1" si="13">LEFT(LEFT("KEY_"&amp;M150&amp;REPT(" ",$O$6),$O$6)&amp;": Final[str] = """&amp;M150&amp;""""&amp;REPT(" ",$O$5),$O$5)&amp;"# "&amp;D150</f>
        <v>KEY_ITM_SCP_DESIGN_DOMAIN_PKEY              : Final[str] = "ITM_SCP_DESIGN_DOMAIN_PKEY"             # 設計領域ID</v>
      </c>
      <c r="P150" s="25" t="str">
        <f ca="1">$B150 &amp; " " &amp; VLOOKUP($E150, sql_type[#All], '&lt;SQL&gt; '!$E$3, FALSE )&amp; " " &amp; IFERROR( IF($K150="", VLOOKUP(K150, sql_notnull[#All], '&lt;SQL&gt; '!$E$3, FALSE ), VLOOKUP($K150, sql_pk[], '&lt;SQL&gt; '!$E$3, FALSE ) ), "" ) &amp; ", -- "  &amp;$D150</f>
        <v>key_scp_design_domain INTEGER PRIMARY KEY, -- 設計領域ID</v>
      </c>
      <c r="Q150" s="25"/>
      <c r="R150" s="25"/>
      <c r="S150" s="12">
        <v>-4</v>
      </c>
    </row>
    <row r="151" spans="1:19" x14ac:dyDescent="0.65">
      <c r="B151" s="17" t="str">
        <f ca="1">OFFSET( tbl_scp_design_domain[[#Headers],[key_scp_design_domain]], 0, ROWS( $A$150:A151 )-1 )</f>
        <v>title_jp</v>
      </c>
      <c r="C151" s="17" t="s">
        <v>4596</v>
      </c>
      <c r="D151" s="24" t="s">
        <v>4596</v>
      </c>
      <c r="E151" s="17" t="s">
        <v>21</v>
      </c>
      <c r="F151" s="17">
        <v>20</v>
      </c>
      <c r="G151" s="17" t="str">
        <f>VLOOKUP($E151, sql_type[#All], '&lt;SQL&gt; '!$E$3, FALSE )</f>
        <v>TEXT</v>
      </c>
      <c r="H151" s="17"/>
      <c r="I151" s="17"/>
      <c r="J151" s="17" t="s">
        <v>19</v>
      </c>
      <c r="K151" s="17"/>
      <c r="L151" s="25"/>
      <c r="M151" s="25" t="str" cm="1">
        <f t="array" aca="1" ref="M151" ca="1">"ITM_"&amp;UPPER(RIGHT(OFFSET(D151,S151,0),LEN(OFFSET(D151,S151,0))-4))&amp;"_"&amp;_xlfn.IFNA(_xlfn.IFS(K151="Y","PKEY",L151="Y","F"&amp;UPPER(B151)),UPPER(B151))</f>
        <v>ITM_SCP_DESIGN_DOMAIN_TITLE_JP</v>
      </c>
      <c r="N151" s="25" t="str">
        <f ca="1">M151&amp;","&amp;B151&amp;","&amp;OFFSET(G151,0,VLOOKUP($C$5,SQL[#All],2,FALSE) ) &amp;", -- "&amp;D151</f>
        <v>ITM_SCP_DESIGN_DOMAIN_TITLE_JP,title_jp,TEXT, -- 日本語名称</v>
      </c>
      <c r="O151" s="25" t="str">
        <f t="shared" ca="1" si="13"/>
        <v>KEY_ITM_SCP_DESIGN_DOMAIN_TITLE_JP          : Final[str] = "ITM_SCP_DESIGN_DOMAIN_TITLE_JP"         # 日本語名称</v>
      </c>
      <c r="P151" s="25"/>
      <c r="Q151" s="25"/>
      <c r="R151" s="25"/>
      <c r="S151" s="12">
        <v>-5</v>
      </c>
    </row>
    <row r="152" spans="1:19" x14ac:dyDescent="0.65">
      <c r="B152" s="17" t="str">
        <f ca="1">OFFSET( tbl_scp_design_domain[[#Headers],[key_scp_design_domain]], 0, ROWS( $A$150:A152 )-1 )</f>
        <v>title_en</v>
      </c>
      <c r="C152" s="17" t="s">
        <v>4595</v>
      </c>
      <c r="D152" s="24" t="s">
        <v>4595</v>
      </c>
      <c r="E152" s="17" t="s">
        <v>21</v>
      </c>
      <c r="F152" s="17">
        <v>20</v>
      </c>
      <c r="G152" s="17" t="str">
        <f>VLOOKUP($E152, sql_type[#All], '&lt;SQL&gt; '!$E$3, FALSE )</f>
        <v>TEXT</v>
      </c>
      <c r="H152" s="17"/>
      <c r="I152" s="17"/>
      <c r="J152" s="17" t="s">
        <v>28</v>
      </c>
      <c r="K152" s="17"/>
      <c r="L152" s="25"/>
      <c r="M152" s="25" t="str" cm="1">
        <f t="array" aca="1" ref="M152" ca="1">"ITM_"&amp;UPPER(RIGHT(OFFSET(D152,S152,0),LEN(OFFSET(D152,S152,0))-4))&amp;"_"&amp;_xlfn.IFNA(_xlfn.IFS(K152="Y","PKEY",L152="Y","F"&amp;UPPER(B152)),UPPER(B152))</f>
        <v>ITM_SCP_DESIGN_DOMAIN_TITLE_EN</v>
      </c>
      <c r="N152" s="25" t="str">
        <f ca="1">M152&amp;","&amp;B152&amp;","&amp;OFFSET(G152,0,VLOOKUP($C$5,SQL[#All],2,FALSE) ) &amp;", -- "&amp;D152</f>
        <v>ITM_SCP_DESIGN_DOMAIN_TITLE_EN,title_en,TEXT, -- 英語名称</v>
      </c>
      <c r="O152" s="25" t="str">
        <f t="shared" ca="1" si="13"/>
        <v>KEY_ITM_SCP_DESIGN_DOMAIN_TITLE_EN          : Final[str] = "ITM_SCP_DESIGN_DOMAIN_TITLE_EN"         # 英語名称</v>
      </c>
      <c r="P152" s="25"/>
      <c r="Q152" s="25"/>
      <c r="R152" s="25"/>
      <c r="S152" s="12">
        <v>-6</v>
      </c>
    </row>
    <row r="153" spans="1:19" x14ac:dyDescent="0.65">
      <c r="B153" s="17"/>
      <c r="C153" s="17"/>
      <c r="D153" s="24"/>
      <c r="E153" s="17"/>
      <c r="F153" s="17"/>
      <c r="G153" s="17"/>
      <c r="H153" s="17"/>
      <c r="I153" s="17"/>
      <c r="J153" s="17"/>
      <c r="K153" s="17"/>
      <c r="L153" s="25"/>
      <c r="M153" s="25"/>
      <c r="N153" s="25"/>
      <c r="O153" s="25"/>
      <c r="P153" s="25"/>
      <c r="Q153" s="25"/>
      <c r="R153" s="25"/>
      <c r="S153" s="12">
        <v>-7</v>
      </c>
    </row>
    <row r="154" spans="1:19" x14ac:dyDescent="0.65">
      <c r="S154" s="12">
        <v>-8</v>
      </c>
    </row>
    <row r="155" spans="1:19" x14ac:dyDescent="0.65">
      <c r="A155" s="12" t="s">
        <v>4510</v>
      </c>
      <c r="S155" s="12">
        <v>-9</v>
      </c>
    </row>
    <row r="156" spans="1:19" x14ac:dyDescent="0.65">
      <c r="B156" s="15" t="s">
        <v>2</v>
      </c>
      <c r="C156" s="16" t="s">
        <v>3</v>
      </c>
      <c r="D156" s="17" t="s">
        <v>4496</v>
      </c>
      <c r="N156" s="25" t="str">
        <f>UPPER( D156 ) &amp; "," &amp;D156 &amp; ",,"</f>
        <v>TBL_REQUEST,tbl_request,,</v>
      </c>
      <c r="O156" s="25" t="str">
        <f>LEFT( LEFT("KEY_"&amp;UPPER(D156)&amp;REPT(" ",$O$6),$O$6) &amp; ": Final[str] = """&amp;UPPER(D156)&amp;"""" &amp; REPT(" ",$O$5),$O$5 ) &amp; "# " &amp;D157</f>
        <v>KEY_TBL_REQUEST                             : Final[str] = "TBL_REQUEST"                            # 要件類テーブル</v>
      </c>
    </row>
    <row r="157" spans="1:19" x14ac:dyDescent="0.65">
      <c r="B157" s="18"/>
      <c r="C157" s="19" t="s">
        <v>4</v>
      </c>
      <c r="D157" s="17" t="s">
        <v>4497</v>
      </c>
    </row>
    <row r="158" spans="1:19" x14ac:dyDescent="0.65">
      <c r="B158" s="20" t="s">
        <v>6</v>
      </c>
      <c r="C158" s="20"/>
      <c r="D158" s="21"/>
      <c r="E158" s="20" t="s">
        <v>7</v>
      </c>
      <c r="F158" s="20"/>
      <c r="G158" s="20"/>
      <c r="H158" s="20"/>
      <c r="I158" s="20"/>
      <c r="J158" s="20" t="s">
        <v>8</v>
      </c>
      <c r="K158" s="20"/>
      <c r="L158" s="20"/>
      <c r="M158" s="20"/>
      <c r="N158" s="20" t="s">
        <v>4514</v>
      </c>
      <c r="O158" s="20"/>
      <c r="P158" s="20"/>
      <c r="Q158" s="20"/>
      <c r="R158" s="20"/>
    </row>
    <row r="159" spans="1:19" x14ac:dyDescent="0.65">
      <c r="B159" s="22" t="s">
        <v>9</v>
      </c>
      <c r="C159" s="22" t="s">
        <v>4</v>
      </c>
      <c r="D159" s="23" t="s">
        <v>10</v>
      </c>
      <c r="E159" s="22" t="s">
        <v>11</v>
      </c>
      <c r="F159" s="22" t="s">
        <v>12</v>
      </c>
      <c r="G159" s="22" t="s">
        <v>4512</v>
      </c>
      <c r="H159" s="22" t="s">
        <v>4515</v>
      </c>
      <c r="I159" s="22" t="s">
        <v>4517</v>
      </c>
      <c r="J159" s="22" t="s">
        <v>13</v>
      </c>
      <c r="K159" s="22" t="s">
        <v>14</v>
      </c>
      <c r="L159" s="22" t="s">
        <v>15</v>
      </c>
      <c r="M159" s="22"/>
      <c r="N159" s="22" t="s">
        <v>4665</v>
      </c>
      <c r="O159" s="22"/>
      <c r="P159" s="22" t="s">
        <v>4513</v>
      </c>
      <c r="Q159" s="22" t="s">
        <v>4516</v>
      </c>
      <c r="R159" s="22" t="s">
        <v>4518</v>
      </c>
    </row>
    <row r="160" spans="1:19" x14ac:dyDescent="0.65">
      <c r="B160" s="17" t="str">
        <f ca="1">OFFSET( tbl_request[[#Headers],[key_req]], 0, ROWS( $A$160:A160 )-1 )</f>
        <v>key_req</v>
      </c>
      <c r="C160" s="17" t="s">
        <v>4630</v>
      </c>
      <c r="D160" s="24" t="s">
        <v>4630</v>
      </c>
      <c r="E160" s="17" t="s">
        <v>18</v>
      </c>
      <c r="F160" s="17">
        <v>4</v>
      </c>
      <c r="G160" s="17" t="str">
        <f>VLOOKUP($E160, sql_type[#All], '&lt;SQL&gt; '!$E$3, FALSE )</f>
        <v>INTEGER</v>
      </c>
      <c r="H160" s="17"/>
      <c r="I160" s="17"/>
      <c r="J160" s="17" t="s">
        <v>19</v>
      </c>
      <c r="K160" s="17" t="s">
        <v>19</v>
      </c>
      <c r="L160" s="17"/>
      <c r="M160" s="25" t="str" cm="1">
        <f t="array" aca="1" ref="M160" ca="1">"ITM_"&amp;UPPER(RIGHT(OFFSET(D160,S160,0),LEN(OFFSET(D160,S160,0))-4))&amp;"_"&amp;_xlfn.IFNA(_xlfn.IFS(K160="Y","PKEY",L160="Y","F"&amp;UPPER(B160)),UPPER(B160))</f>
        <v>ITM_REQUEST_PKEY</v>
      </c>
      <c r="N160" s="25" t="str">
        <f ca="1">M160&amp;","&amp;B160&amp;","&amp;OFFSET(G160,0,VLOOKUP($C$5,SQL[#All],2,FALSE) ) &amp;", -- "&amp;D160</f>
        <v>ITM_REQUEST_PKEY,key_req,INTEGER, -- 要件キー</v>
      </c>
      <c r="O160" s="25" t="str">
        <f t="shared" ref="O160:O182" ca="1" si="14">LEFT(LEFT("KEY_"&amp;M160&amp;REPT(" ",$O$6),$O$6)&amp;": Final[str] = """&amp;M160&amp;""""&amp;REPT(" ",$O$5),$O$5)&amp;"# "&amp;D160</f>
        <v>KEY_ITM_REQUEST_PKEY                        : Final[str] = "ITM_REQUEST_PKEY"                       # 要件キー</v>
      </c>
      <c r="P160" s="25" t="str">
        <f ca="1">$B160 &amp; " " &amp; VLOOKUP($E160, sql_type[#All], '&lt;SQL&gt; '!$E$3, FALSE )&amp; " " &amp; IFERROR( IF($K160="", VLOOKUP(K160, sql_notnull[#All], '&lt;SQL&gt; '!$E$3, FALSE ), VLOOKUP($K160, sql_pk[], '&lt;SQL&gt; '!$E$3, FALSE ) ), "" ) &amp; ", -- "  &amp;$D160</f>
        <v>key_req INTEGER PRIMARY KEY, -- 要件キー</v>
      </c>
      <c r="Q160" s="25"/>
      <c r="R160" s="25"/>
      <c r="S160" s="12">
        <v>-4</v>
      </c>
    </row>
    <row r="161" spans="1:19" x14ac:dyDescent="0.65">
      <c r="B161" s="17" t="str">
        <f ca="1">OFFSET( tbl_request[[#Headers],[key_req]], 0, ROWS( $A$160:A161 )-1 )</f>
        <v>key_rule</v>
      </c>
      <c r="C161" s="17" t="s">
        <v>4632</v>
      </c>
      <c r="D161" s="24" t="s">
        <v>4631</v>
      </c>
      <c r="E161" s="17" t="s">
        <v>21</v>
      </c>
      <c r="F161" s="17">
        <v>100</v>
      </c>
      <c r="G161" s="17" t="str">
        <f>VLOOKUP($E161, sql_type[#All], '&lt;SQL&gt; '!$E$3, FALSE )</f>
        <v>TEXT</v>
      </c>
      <c r="H161" s="17"/>
      <c r="I161" s="17"/>
      <c r="J161" s="17" t="s">
        <v>19</v>
      </c>
      <c r="K161" s="17"/>
      <c r="L161" s="17"/>
      <c r="M161" s="25" t="str" cm="1">
        <f t="array" aca="1" ref="M161" ca="1">"ITM_"&amp;UPPER(RIGHT(OFFSET(D161,S161,0),LEN(OFFSET(D161,S161,0))-4))&amp;"_"&amp;_xlfn.IFNA(_xlfn.IFS(K161="Y","PKEY",L161="Y","F"&amp;UPPER(B161)),UPPER(B161))</f>
        <v>ITM_REQUEST_KEY_RULE</v>
      </c>
      <c r="N161" s="25" t="str">
        <f ca="1">M161&amp;","&amp;B161&amp;","&amp;OFFSET(G161,0,VLOOKUP($C$5,SQL[#All],2,FALSE) ) &amp;", -- "&amp;D161</f>
        <v>ITM_REQUEST_KEY_RULE,key_rule,TEXT, -- 基準キー</v>
      </c>
      <c r="O161" s="25" t="str">
        <f t="shared" ca="1" si="14"/>
        <v>KEY_ITM_REQUEST_KEY_RULE                    : Final[str] = "ITM_REQUEST_KEY_RULE"                   # 基準キー</v>
      </c>
      <c r="P161" s="25" t="str">
        <f ca="1">$B161 &amp; " " &amp; VLOOKUP($E161, sql_type[#All], '&lt;SQL&gt; '!$E$3, FALSE )&amp; " " &amp; IFERROR( IF($K161="", VLOOKUP(K161, sql_notnull[#All], '&lt;SQL&gt; '!$E$3, FALSE ), VLOOKUP($K161, sql_pk[], '&lt;SQL&gt; '!$E$3, FALSE ) ), "" ) &amp; ", -- "  &amp;$D161</f>
        <v>key_rule TEXT , -- 基準キー</v>
      </c>
      <c r="Q161" s="25"/>
      <c r="R161" s="25"/>
      <c r="S161" s="12">
        <v>-5</v>
      </c>
    </row>
    <row r="162" spans="1:19" x14ac:dyDescent="0.65">
      <c r="B162" s="17" t="str">
        <f ca="1">OFFSET( tbl_request[[#Headers],[key_req]], 0, ROWS( $A$160:A162 )-1 )</f>
        <v>id_cap</v>
      </c>
      <c r="C162" s="17" t="s">
        <v>4625</v>
      </c>
      <c r="D162" s="24" t="s">
        <v>4626</v>
      </c>
      <c r="E162" s="17" t="s">
        <v>21</v>
      </c>
      <c r="F162" s="17">
        <v>200</v>
      </c>
      <c r="G162" s="17" t="str">
        <f>VLOOKUP($E162, sql_type[#All], '&lt;SQL&gt; '!$E$3, FALSE )</f>
        <v>TEXT</v>
      </c>
      <c r="H162" s="17"/>
      <c r="I162" s="17"/>
      <c r="J162" s="17" t="s">
        <v>19</v>
      </c>
      <c r="K162" s="17"/>
      <c r="L162" s="17"/>
      <c r="M162" s="25" t="str" cm="1">
        <f t="array" aca="1" ref="M162" ca="1">"ITM_"&amp;UPPER(RIGHT(OFFSET(D162,S162,0),LEN(OFFSET(D162,S162,0))-4))&amp;"_"&amp;_xlfn.IFNA(_xlfn.IFS(K162="Y","PKEY",L162="Y","F"&amp;UPPER(B162)),UPPER(B162))</f>
        <v>ITM_REQUEST_ID_CAP</v>
      </c>
      <c r="N162" s="25" t="str">
        <f ca="1">M162&amp;","&amp;B162&amp;","&amp;OFFSET(G162,0,VLOOKUP($C$5,SQL[#All],2,FALSE) ) &amp;", -- "&amp;D162</f>
        <v>ITM_REQUEST_ID_CAP,id_cap,TEXT, -- 章名称</v>
      </c>
      <c r="O162" s="25" t="str">
        <f t="shared" ca="1" si="14"/>
        <v>KEY_ITM_REQUEST_ID_CAP                      : Final[str] = "ITM_REQUEST_ID_CAP"                     # 章名称</v>
      </c>
      <c r="P162" s="25" t="str">
        <f ca="1">$B162 &amp; " " &amp; VLOOKUP($E162, sql_type[#All], '&lt;SQL&gt; '!$E$3, FALSE )&amp; " " &amp; IFERROR( IF($K162="", VLOOKUP(K162, sql_notnull[#All], '&lt;SQL&gt; '!$E$3, FALSE ), VLOOKUP($K162, sql_pk[], '&lt;SQL&gt; '!$E$3, FALSE ) ), "" ) &amp; ", -- "  &amp;$D162</f>
        <v>id_cap TEXT , -- 章名称</v>
      </c>
      <c r="Q162" s="25"/>
      <c r="R162" s="25"/>
      <c r="S162" s="12">
        <v>-6</v>
      </c>
    </row>
    <row r="163" spans="1:19" x14ac:dyDescent="0.65">
      <c r="B163" s="17" t="str">
        <f ca="1">OFFSET( tbl_request[[#Headers],[key_req]], 0, ROWS( $A$160:A163 )-1 )</f>
        <v>title_capter</v>
      </c>
      <c r="C163" s="17" t="s">
        <v>4626</v>
      </c>
      <c r="D163" s="24" t="s">
        <v>4627</v>
      </c>
      <c r="E163" s="17" t="s">
        <v>18</v>
      </c>
      <c r="F163" s="17">
        <v>4</v>
      </c>
      <c r="G163" s="17" t="str">
        <f>VLOOKUP($E163, sql_type[#All], '&lt;SQL&gt; '!$E$3, FALSE )</f>
        <v>INTEGER</v>
      </c>
      <c r="H163" s="17"/>
      <c r="I163" s="17"/>
      <c r="J163" s="17" t="s">
        <v>19</v>
      </c>
      <c r="K163" s="17"/>
      <c r="L163" s="17" t="s">
        <v>19</v>
      </c>
      <c r="M163" s="25" t="str" cm="1">
        <f t="array" aca="1" ref="M163" ca="1">"ITM_"&amp;UPPER(RIGHT(OFFSET(D163,S163,0),LEN(OFFSET(D163,S163,0))-4))&amp;"_"&amp;_xlfn.IFNA(_xlfn.IFS(K163="Y","PKEY",L163="Y","F"&amp;UPPER(B163)),UPPER(B163))</f>
        <v>ITM_REQUEST_FTITLE_CAPTER</v>
      </c>
      <c r="N163" s="25" t="str">
        <f ca="1">M163&amp;","&amp;B163&amp;","&amp;OFFSET(G163,0,VLOOKUP($C$5,SQL[#All],2,FALSE) ) &amp;", -- "&amp;D163</f>
        <v>ITM_REQUEST_FTITLE_CAPTER,title_capter,INTEGER, -- 節名称</v>
      </c>
      <c r="O163" s="25" t="str">
        <f t="shared" ca="1" si="14"/>
        <v>KEY_ITM_REQUEST_FTITLE_CAPTER               : Final[str] = "ITM_REQUEST_FTITLE_CAPTER"              # 節名称</v>
      </c>
      <c r="P163" s="25" t="str">
        <f ca="1">$B163 &amp; " " &amp; VLOOKUP($E163, sql_type[#All], '&lt;SQL&gt; '!$E$3, FALSE )&amp; " " &amp; IFERROR( IF($K163="", VLOOKUP(K163, sql_notnull[#All], '&lt;SQL&gt; '!$E$3, FALSE ), VLOOKUP($K163, sql_pk[], '&lt;SQL&gt; '!$E$3, FALSE ) ), "" ) &amp; ", -- "  &amp;$D163</f>
        <v>title_capter INTEGER , -- 節名称</v>
      </c>
      <c r="Q163" s="17"/>
      <c r="R163" s="17"/>
      <c r="S163" s="12">
        <v>-7</v>
      </c>
    </row>
    <row r="164" spans="1:19" x14ac:dyDescent="0.65">
      <c r="B164" s="17" t="str">
        <f ca="1">OFFSET( tbl_request[[#Headers],[key_req]], 0, ROWS( $A$160:A164 )-1 )</f>
        <v>title_section</v>
      </c>
      <c r="C164" s="17" t="s">
        <v>4627</v>
      </c>
      <c r="D164" s="24" t="s">
        <v>4633</v>
      </c>
      <c r="E164" s="17" t="s">
        <v>24</v>
      </c>
      <c r="F164" s="17"/>
      <c r="G164" s="17" t="str">
        <f>VLOOKUP($E164, sql_type[#All], '&lt;SQL&gt; '!$E$3, FALSE )</f>
        <v>TEXT</v>
      </c>
      <c r="H164" s="17"/>
      <c r="I164" s="17"/>
      <c r="J164" s="17" t="s">
        <v>28</v>
      </c>
      <c r="K164" s="17"/>
      <c r="L164" s="17"/>
      <c r="M164" s="25" t="str" cm="1">
        <f t="array" aca="1" ref="M164" ca="1">"ITM_"&amp;UPPER(RIGHT(OFFSET(D164,S164,0),LEN(OFFSET(D164,S164,0))-4))&amp;"_"&amp;_xlfn.IFNA(_xlfn.IFS(K164="Y","PKEY",L164="Y","F"&amp;UPPER(B164)),UPPER(B164))</f>
        <v>ITM_REQUEST_TITLE_SECTION</v>
      </c>
      <c r="N164" s="25" t="str">
        <f ca="1">M164&amp;","&amp;B164&amp;","&amp;OFFSET(G164,0,VLOOKUP($C$5,SQL[#All],2,FALSE) ) &amp;", -- "&amp;D164</f>
        <v>ITM_REQUEST_TITLE_SECTION,title_section,TEXT, -- 本文(上)</v>
      </c>
      <c r="O164" s="25" t="str">
        <f t="shared" ca="1" si="14"/>
        <v>KEY_ITM_REQUEST_TITLE_SECTION               : Final[str] = "ITM_REQUEST_TITLE_SECTION"              # 本文(上)</v>
      </c>
      <c r="P164" s="25" t="str">
        <f ca="1">$B164 &amp; " " &amp; VLOOKUP($E164, sql_type[#All], '&lt;SQL&gt; '!$E$3, FALSE )&amp; " " &amp; IFERROR( IF($K164="", VLOOKUP(K164, sql_notnull[#All], '&lt;SQL&gt; '!$E$3, FALSE ), VLOOKUP($K164, sql_pk[], '&lt;SQL&gt; '!$E$3, FALSE ) ), "" ) &amp; ", -- "  &amp;$D164</f>
        <v>title_section TEXT , -- 本文(上)</v>
      </c>
      <c r="Q164" s="17"/>
      <c r="R164" s="17"/>
      <c r="S164" s="12">
        <v>-8</v>
      </c>
    </row>
    <row r="165" spans="1:19" x14ac:dyDescent="0.65">
      <c r="B165" s="17" t="str">
        <f ca="1">OFFSET( tbl_request[[#Headers],[key_req]], 0, ROWS( $A$160:A165 )-1 )</f>
        <v>top_body</v>
      </c>
      <c r="C165" s="17" t="s">
        <v>4633</v>
      </c>
      <c r="D165" s="24" t="s">
        <v>4634</v>
      </c>
      <c r="E165" s="17" t="s">
        <v>25</v>
      </c>
      <c r="F165" s="17">
        <v>1</v>
      </c>
      <c r="G165" s="17" t="str">
        <f>VLOOKUP($E165, sql_type[#All], '&lt;SQL&gt; '!$E$3, FALSE )</f>
        <v>INTEGER</v>
      </c>
      <c r="H165" s="17"/>
      <c r="I165" s="17"/>
      <c r="J165" s="17" t="s">
        <v>28</v>
      </c>
      <c r="K165" s="17"/>
      <c r="L165" s="17" t="s">
        <v>19</v>
      </c>
      <c r="M165" s="25" t="str" cm="1">
        <f t="array" aca="1" ref="M165" ca="1">"ITM_"&amp;UPPER(RIGHT(OFFSET(D165,S165,0),LEN(OFFSET(D165,S165,0))-4))&amp;"_"&amp;_xlfn.IFNA(_xlfn.IFS(K165="Y","PKEY",L165="Y","F"&amp;UPPER(B165)),UPPER(B165))</f>
        <v>ITM_REQUEST_FTOP_BODY</v>
      </c>
      <c r="N165" s="25" t="str">
        <f ca="1">M165&amp;","&amp;B165&amp;","&amp;OFFSET(G165,0,VLOOKUP($C$5,SQL[#All],2,FALSE) ) &amp;", -- "&amp;D165</f>
        <v>ITM_REQUEST_FTOP_BODY,top_body,INTEGER, -- 本文(下)</v>
      </c>
      <c r="O165" s="25" t="str">
        <f t="shared" ca="1" si="14"/>
        <v>KEY_ITM_REQUEST_FTOP_BODY                   : Final[str] = "ITM_REQUEST_FTOP_BODY"                  # 本文(下)</v>
      </c>
      <c r="P165" s="25" t="str">
        <f ca="1">$B165 &amp; " " &amp; VLOOKUP($E165, sql_type[#All], '&lt;SQL&gt; '!$E$3, FALSE )&amp; " " &amp; IFERROR( IF($K165="", VLOOKUP(K165, sql_notnull[#All], '&lt;SQL&gt; '!$E$3, FALSE ), VLOOKUP($K165, sql_pk[], '&lt;SQL&gt; '!$E$3, FALSE ) ), "" ) &amp; ", -- "  &amp;$D165</f>
        <v>top_body INTEGER , -- 本文(下)</v>
      </c>
      <c r="Q165" s="17"/>
      <c r="R165" s="17"/>
      <c r="S165" s="12">
        <v>-9</v>
      </c>
    </row>
    <row r="166" spans="1:19" x14ac:dyDescent="0.65">
      <c r="B166" s="17" t="str">
        <f ca="1">OFFSET( tbl_request[[#Headers],[key_req]], 0, ROWS( $A$160:A166 )-1 )</f>
        <v>low_body</v>
      </c>
      <c r="C166" s="17" t="s">
        <v>4634</v>
      </c>
      <c r="D166" s="24" t="s">
        <v>4635</v>
      </c>
      <c r="E166" s="17" t="s">
        <v>24</v>
      </c>
      <c r="F166" s="17"/>
      <c r="G166" s="17" t="str">
        <f>VLOOKUP($E166, sql_type[#All], '&lt;SQL&gt; '!$E$3, FALSE )</f>
        <v>TEXT</v>
      </c>
      <c r="H166" s="17"/>
      <c r="I166" s="17"/>
      <c r="J166" s="17" t="s">
        <v>28</v>
      </c>
      <c r="K166" s="17"/>
      <c r="L166" s="17"/>
      <c r="M166" s="25" t="str" cm="1">
        <f t="array" aca="1" ref="M166" ca="1">"ITM_"&amp;UPPER(RIGHT(OFFSET(D166,S166,0),LEN(OFFSET(D166,S166,0))-4))&amp;"_"&amp;_xlfn.IFNA(_xlfn.IFS(K166="Y","PKEY",L166="Y","F"&amp;UPPER(B166)),UPPER(B166))</f>
        <v>ITM_REQUEST_LOW_BODY</v>
      </c>
      <c r="N166" s="25" t="str">
        <f ca="1">M166&amp;","&amp;B166&amp;","&amp;OFFSET(G166,0,VLOOKUP($C$5,SQL[#All],2,FALSE) ) &amp;", -- "&amp;D166</f>
        <v>ITM_REQUEST_LOW_BODY,low_body,TEXT, -- 表(上)</v>
      </c>
      <c r="O166" s="25" t="str">
        <f t="shared" ca="1" si="14"/>
        <v>KEY_ITM_REQUEST_LOW_BODY                    : Final[str] = "ITM_REQUEST_LOW_BODY"                   # 表(上)</v>
      </c>
      <c r="P166" s="25" t="str">
        <f ca="1">$B166 &amp; " " &amp; VLOOKUP($E166, sql_type[#All], '&lt;SQL&gt; '!$E$3, FALSE )&amp; " " &amp; IFERROR( IF($K166="", VLOOKUP(K166, sql_notnull[#All], '&lt;SQL&gt; '!$E$3, FALSE ), VLOOKUP($K166, sql_pk[], '&lt;SQL&gt; '!$E$3, FALSE ) ), "" ) &amp; ", -- "  &amp;$D166</f>
        <v>low_body TEXT , -- 表(上)</v>
      </c>
      <c r="Q166" s="25"/>
      <c r="R166" s="25"/>
      <c r="S166" s="12">
        <v>-10</v>
      </c>
    </row>
    <row r="167" spans="1:19" x14ac:dyDescent="0.65">
      <c r="B167" s="17" t="str">
        <f ca="1">OFFSET( tbl_request[[#Headers],[key_req]], 0, ROWS( $A$160:A167 )-1 )</f>
        <v>top_tbl</v>
      </c>
      <c r="C167" s="17" t="s">
        <v>4635</v>
      </c>
      <c r="D167" s="24" t="s">
        <v>4636</v>
      </c>
      <c r="E167" s="17" t="s">
        <v>24</v>
      </c>
      <c r="F167" s="17"/>
      <c r="G167" s="17" t="str">
        <f>VLOOKUP($E167, sql_type[#All], '&lt;SQL&gt; '!$E$3, FALSE )</f>
        <v>TEXT</v>
      </c>
      <c r="H167" s="17"/>
      <c r="I167" s="17"/>
      <c r="J167" s="17" t="s">
        <v>28</v>
      </c>
      <c r="K167" s="25"/>
      <c r="L167" s="17"/>
      <c r="M167" s="25" t="str" cm="1">
        <f t="array" aca="1" ref="M167" ca="1">"ITM_"&amp;UPPER(RIGHT(OFFSET(D167,S167,0),LEN(OFFSET(D167,S167,0))-4))&amp;"_"&amp;_xlfn.IFNA(_xlfn.IFS(K167="Y","PKEY",L167="Y","F"&amp;UPPER(B167)),UPPER(B167))</f>
        <v>ITM_REQUEST_TOP_TBL</v>
      </c>
      <c r="N167" s="25" t="str">
        <f ca="1">M167&amp;","&amp;B167&amp;","&amp;OFFSET(G167,0,VLOOKUP($C$5,SQL[#All],2,FALSE) ) &amp;", -- "&amp;D167</f>
        <v>ITM_REQUEST_TOP_TBL,top_tbl,TEXT, -- 図(上)</v>
      </c>
      <c r="O167" s="25" t="str">
        <f t="shared" ca="1" si="14"/>
        <v>KEY_ITM_REQUEST_TOP_TBL                     : Final[str] = "ITM_REQUEST_TOP_TBL"                    # 図(上)</v>
      </c>
      <c r="P167" s="25" t="str">
        <f ca="1">$B167 &amp; " " &amp; VLOOKUP($E167, sql_type[#All], '&lt;SQL&gt; '!$E$3, FALSE )&amp; " " &amp; IFERROR( IF($K167="", VLOOKUP(K167, sql_notnull[#All], '&lt;SQL&gt; '!$E$3, FALSE ), VLOOKUP($K167, sql_pk[], '&lt;SQL&gt; '!$E$3, FALSE ) ), "" ) &amp; ", -- "  &amp;$D167</f>
        <v>top_tbl TEXT , -- 図(上)</v>
      </c>
      <c r="Q167" s="25"/>
      <c r="R167" s="25"/>
      <c r="S167" s="12">
        <v>-11</v>
      </c>
    </row>
    <row r="168" spans="1:19" x14ac:dyDescent="0.65">
      <c r="B168" s="17" t="str">
        <f ca="1">OFFSET( tbl_request[[#Headers],[key_req]], 0, ROWS( $A$160:A168 )-1 )</f>
        <v>top_fig</v>
      </c>
      <c r="C168" s="17" t="s">
        <v>4636</v>
      </c>
      <c r="D168" s="24" t="s">
        <v>4637</v>
      </c>
      <c r="E168" s="17" t="s">
        <v>24</v>
      </c>
      <c r="F168" s="17"/>
      <c r="G168" s="17" t="str">
        <f>VLOOKUP($E168, sql_type[#All], '&lt;SQL&gt; '!$E$3, FALSE )</f>
        <v>TEXT</v>
      </c>
      <c r="H168" s="17"/>
      <c r="I168" s="17"/>
      <c r="J168" s="17" t="s">
        <v>28</v>
      </c>
      <c r="K168" s="25"/>
      <c r="L168" s="17"/>
      <c r="M168" s="25" t="str" cm="1">
        <f t="array" aca="1" ref="M168" ca="1">"ITM_"&amp;UPPER(RIGHT(OFFSET(D168,S168,0),LEN(OFFSET(D168,S168,0))-4))&amp;"_"&amp;_xlfn.IFNA(_xlfn.IFS(K168="Y","PKEY",L168="Y","F"&amp;UPPER(B168)),UPPER(B168))</f>
        <v>ITM_REQUEST_TOP_FIG</v>
      </c>
      <c r="N168" s="25" t="str">
        <f ca="1">M168&amp;","&amp;B168&amp;","&amp;OFFSET(G168,0,VLOOKUP($C$5,SQL[#All],2,FALSE) ) &amp;", -- "&amp;D168</f>
        <v>ITM_REQUEST_TOP_FIG,top_fig,TEXT, -- 表(下)</v>
      </c>
      <c r="O168" s="25" t="str">
        <f t="shared" ca="1" si="14"/>
        <v>KEY_ITM_REQUEST_TOP_FIG                     : Final[str] = "ITM_REQUEST_TOP_FIG"                    # 表(下)</v>
      </c>
      <c r="P168" s="25" t="str">
        <f ca="1">$B168 &amp; " " &amp; VLOOKUP($E168, sql_type[#All], '&lt;SQL&gt; '!$E$3, FALSE )&amp; " " &amp; IFERROR( IF($K168="", VLOOKUP(K168, sql_notnull[#All], '&lt;SQL&gt; '!$E$3, FALSE ), VLOOKUP($K168, sql_pk[], '&lt;SQL&gt; '!$E$3, FALSE ) ), "" ) &amp; ", -- "  &amp;$D168</f>
        <v>top_fig TEXT , -- 表(下)</v>
      </c>
      <c r="Q168" s="25"/>
      <c r="R168" s="25"/>
      <c r="S168" s="12">
        <v>-12</v>
      </c>
    </row>
    <row r="169" spans="1:19" x14ac:dyDescent="0.65">
      <c r="B169" s="17" t="str">
        <f ca="1">OFFSET( tbl_request[[#Headers],[key_req]], 0, ROWS( $A$160:A169 )-1 )</f>
        <v>low_tbl</v>
      </c>
      <c r="C169" s="17" t="s">
        <v>4637</v>
      </c>
      <c r="D169" s="24" t="s">
        <v>4638</v>
      </c>
      <c r="E169" s="17" t="s">
        <v>24</v>
      </c>
      <c r="F169" s="17"/>
      <c r="G169" s="17" t="str">
        <f>VLOOKUP($E169, sql_type[#All], '&lt;SQL&gt; '!$E$3, FALSE )</f>
        <v>TEXT</v>
      </c>
      <c r="H169" s="17"/>
      <c r="I169" s="17"/>
      <c r="J169" s="17" t="s">
        <v>28</v>
      </c>
      <c r="K169" s="25"/>
      <c r="L169" s="17"/>
      <c r="M169" s="25" t="str" cm="1">
        <f t="array" aca="1" ref="M169" ca="1">"ITM_"&amp;UPPER(RIGHT(OFFSET(D169,S169,0),LEN(OFFSET(D169,S169,0))-4))&amp;"_"&amp;_xlfn.IFNA(_xlfn.IFS(K169="Y","PKEY",L169="Y","F"&amp;UPPER(B169)),UPPER(B169))</f>
        <v>ITM_REQUEST_LOW_TBL</v>
      </c>
      <c r="N169" s="25" t="str">
        <f ca="1">M169&amp;","&amp;B169&amp;","&amp;OFFSET(G169,0,VLOOKUP($C$5,SQL[#All],2,FALSE) ) &amp;", -- "&amp;D169</f>
        <v>ITM_REQUEST_LOW_TBL,low_tbl,TEXT, -- 図(下)</v>
      </c>
      <c r="O169" s="25" t="str">
        <f t="shared" ca="1" si="14"/>
        <v>KEY_ITM_REQUEST_LOW_TBL                     : Final[str] = "ITM_REQUEST_LOW_TBL"                    # 図(下)</v>
      </c>
      <c r="P169" s="25" t="str">
        <f ca="1">$B169 &amp; " " &amp; VLOOKUP($E169, sql_type[#All], '&lt;SQL&gt; '!$E$3, FALSE )&amp; " " &amp; IFERROR( IF($K169="", VLOOKUP(K169, sql_notnull[#All], '&lt;SQL&gt; '!$E$3, FALSE ), VLOOKUP($K169, sql_pk[], '&lt;SQL&gt; '!$E$3, FALSE ) ), "" ) &amp; ", -- "  &amp;$D169</f>
        <v>low_tbl TEXT , -- 図(下)</v>
      </c>
      <c r="Q169" s="25"/>
      <c r="R169" s="25"/>
      <c r="S169" s="12">
        <v>-13</v>
      </c>
    </row>
    <row r="170" spans="1:19" x14ac:dyDescent="0.65">
      <c r="B170" s="17" t="str">
        <f ca="1">OFFSET( tbl_request[[#Headers],[key_req]], 0, ROWS( $A$160:A170 )-1 )</f>
        <v>low_fig</v>
      </c>
      <c r="C170" s="17" t="s">
        <v>4638</v>
      </c>
      <c r="D170" s="24" t="s">
        <v>4639</v>
      </c>
      <c r="E170" s="17" t="s">
        <v>24</v>
      </c>
      <c r="F170" s="17"/>
      <c r="G170" s="17" t="str">
        <f>VLOOKUP($E170, sql_type[#All], '&lt;SQL&gt; '!$E$3, FALSE )</f>
        <v>TEXT</v>
      </c>
      <c r="H170" s="17"/>
      <c r="I170" s="17"/>
      <c r="J170" s="17" t="s">
        <v>28</v>
      </c>
      <c r="K170" s="25"/>
      <c r="L170" s="17"/>
      <c r="M170" s="25" t="str" cm="1">
        <f t="array" aca="1" ref="M170" ca="1">"ITM_"&amp;UPPER(RIGHT(OFFSET(D170,S170,0),LEN(OFFSET(D170,S170,0))-4))&amp;"_"&amp;_xlfn.IFNA(_xlfn.IFS(K170="Y","PKEY",L170="Y","F"&amp;UPPER(B170)),UPPER(B170))</f>
        <v>ITM_REQUEST_LOW_FIG</v>
      </c>
      <c r="N170" s="25" t="str">
        <f ca="1">M170&amp;","&amp;B170&amp;","&amp;OFFSET(G170,0,VLOOKUP($C$5,SQL[#All],2,FALSE) ) &amp;", -- "&amp;D170</f>
        <v>ITM_REQUEST_LOW_FIG,low_fig,TEXT, -- 参照</v>
      </c>
      <c r="O170" s="25" t="str">
        <f t="shared" ca="1" si="14"/>
        <v>KEY_ITM_REQUEST_LOW_FIG                     : Final[str] = "ITM_REQUEST_LOW_FIG"                    # 参照</v>
      </c>
      <c r="P170" s="25" t="str">
        <f ca="1">$B170 &amp; " " &amp; VLOOKUP($E170, sql_type[#All], '&lt;SQL&gt; '!$E$3, FALSE )&amp; " " &amp; IFERROR( IF($K170="", VLOOKUP(K170, sql_notnull[#All], '&lt;SQL&gt; '!$E$3, FALSE ), VLOOKUP($K170, sql_pk[], '&lt;SQL&gt; '!$E$3, FALSE ) ), "" ) &amp; ", -- "  &amp;$D170</f>
        <v>low_fig TEXT , -- 参照</v>
      </c>
      <c r="Q170" s="25"/>
      <c r="R170" s="25"/>
      <c r="S170" s="12">
        <v>-14</v>
      </c>
    </row>
    <row r="171" spans="1:19" x14ac:dyDescent="0.65">
      <c r="B171" s="17" t="str">
        <f ca="1">OFFSET( tbl_request[[#Headers],[key_req]], 0, ROWS( $A$160:A171 )-1 )</f>
        <v>lead_time</v>
      </c>
      <c r="C171" s="17" t="s">
        <v>4654</v>
      </c>
      <c r="D171" s="24" t="s">
        <v>4655</v>
      </c>
      <c r="E171" s="17" t="s">
        <v>24</v>
      </c>
      <c r="F171" s="17"/>
      <c r="G171" s="17" t="str">
        <f>VLOOKUP($E171, sql_type[#All], '&lt;SQL&gt; '!$E$3, FALSE )</f>
        <v>TEXT</v>
      </c>
      <c r="H171" s="17"/>
      <c r="I171" s="17"/>
      <c r="J171" s="17" t="s">
        <v>28</v>
      </c>
      <c r="K171" s="25"/>
      <c r="L171" s="17"/>
      <c r="M171" s="25" t="str" cm="1">
        <f t="array" aca="1" ref="M171" ca="1">"ITM_"&amp;UPPER(RIGHT(OFFSET(D171,S171,0),LEN(OFFSET(D171,S171,0))-4))&amp;"_"&amp;_xlfn.IFNA(_xlfn.IFS(K171="Y","PKEY",L171="Y","F"&amp;UPPER(B171)),UPPER(B171))</f>
        <v>ITM_REQUEST_LEAD_TIME</v>
      </c>
      <c r="N171" s="25" t="str">
        <f ca="1">M171&amp;","&amp;B171&amp;","&amp;OFFSET(G171,0,VLOOKUP($C$5,SQL[#All],2,FALSE) ) &amp;", -- "&amp;D171</f>
        <v>ITM_REQUEST_LEAD_TIME,lead_time,TEXT, -- リードタイム</v>
      </c>
      <c r="O171" s="25" t="str">
        <f t="shared" ca="1" si="14"/>
        <v>KEY_ITM_REQUEST_LEAD_TIME                   : Final[str] = "ITM_REQUEST_LEAD_TIME"                  # リードタイム</v>
      </c>
      <c r="P171" s="25" t="str">
        <f ca="1">$B171 &amp; " " &amp; VLOOKUP($E171, sql_type[#All], '&lt;SQL&gt; '!$E$3, FALSE )&amp; " " &amp; IFERROR( IF($K171="", VLOOKUP(K171, sql_notnull[#All], '&lt;SQL&gt; '!$E$3, FALSE ), VLOOKUP($K171, sql_pk[], '&lt;SQL&gt; '!$E$3, FALSE ) ), "" ) &amp; ", -- "  &amp;$D171</f>
        <v>lead_time TEXT , -- リードタイム</v>
      </c>
      <c r="Q171" s="25"/>
      <c r="R171" s="25"/>
      <c r="S171" s="12">
        <v>-15</v>
      </c>
    </row>
    <row r="172" spans="1:19" x14ac:dyDescent="0.65">
      <c r="B172" s="17" t="str">
        <f ca="1">OFFSET( tbl_request[[#Headers],[key_req]], 0, ROWS( $A$160:A172 )-1 )</f>
        <v>reference</v>
      </c>
      <c r="C172" s="17" t="s">
        <v>4639</v>
      </c>
      <c r="D172" s="24" t="s">
        <v>4639</v>
      </c>
      <c r="E172" s="17" t="s">
        <v>24</v>
      </c>
      <c r="F172" s="17"/>
      <c r="G172" s="17" t="str">
        <f>VLOOKUP($E172, sql_type[#All], '&lt;SQL&gt; '!$E$3, FALSE )</f>
        <v>TEXT</v>
      </c>
      <c r="H172" s="17"/>
      <c r="I172" s="17"/>
      <c r="J172" s="17" t="s">
        <v>28</v>
      </c>
      <c r="K172" s="25"/>
      <c r="L172" s="17"/>
      <c r="M172" s="25" t="str" cm="1">
        <f t="array" aca="1" ref="M172" ca="1">"ITM_"&amp;UPPER(RIGHT(OFFSET(D172,S172,0),LEN(OFFSET(D172,S172,0))-4))&amp;"_"&amp;_xlfn.IFNA(_xlfn.IFS(K172="Y","PKEY",L172="Y","F"&amp;UPPER(B172)),UPPER(B172))</f>
        <v>ITM_REQUEST_REFERENCE</v>
      </c>
      <c r="N172" s="25" t="str">
        <f ca="1">M172&amp;","&amp;B172&amp;","&amp;OFFSET(G172,0,VLOOKUP($C$5,SQL[#All],2,FALSE) ) &amp;", -- "&amp;D172</f>
        <v>ITM_REQUEST_REFERENCE,reference,TEXT, -- 参照</v>
      </c>
      <c r="O172" s="25" t="str">
        <f t="shared" ca="1" si="14"/>
        <v>KEY_ITM_REQUEST_REFERENCE                   : Final[str] = "ITM_REQUEST_REFERENCE"                  # 参照</v>
      </c>
      <c r="P172" s="25" t="str">
        <f ca="1">$B172 &amp; " " &amp; VLOOKUP($E172, sql_type[#All], '&lt;SQL&gt; '!$E$3, FALSE )&amp; " " &amp; IFERROR( IF($K172="", VLOOKUP(K172, sql_notnull[#All], '&lt;SQL&gt; '!$E$3, FALSE ), VLOOKUP($K172, sql_pk[], '&lt;SQL&gt; '!$E$3, FALSE ) ), "" ) &amp; ", -- "  &amp;$D172</f>
        <v>reference TEXT , -- 参照</v>
      </c>
      <c r="Q172" s="25"/>
      <c r="R172" s="25"/>
      <c r="S172" s="12">
        <v>-16</v>
      </c>
    </row>
    <row r="173" spans="1:19" x14ac:dyDescent="0.65">
      <c r="B173" s="17" t="str">
        <f ca="1">OFFSET( tbl_request[[#Headers],[key_req]], 0, ROWS( $A$160:A173 )-1 )</f>
        <v>created_date</v>
      </c>
      <c r="C173" s="17" t="s">
        <v>4602</v>
      </c>
      <c r="D173" s="24" t="s">
        <v>4602</v>
      </c>
      <c r="E173" s="17" t="s">
        <v>27</v>
      </c>
      <c r="F173" s="17">
        <v>8</v>
      </c>
      <c r="G173" s="17" t="str">
        <f>VLOOKUP($E173, sql_type[#All], '&lt;SQL&gt; '!$E$3, FALSE )</f>
        <v>TEXT</v>
      </c>
      <c r="H173" s="17"/>
      <c r="I173" s="17"/>
      <c r="J173" s="17" t="s">
        <v>28</v>
      </c>
      <c r="K173" s="25"/>
      <c r="L173" s="17"/>
      <c r="M173" s="25" t="str" cm="1">
        <f t="array" aca="1" ref="M173" ca="1">"ITM_"&amp;UPPER(RIGHT(OFFSET(D173,S173,0),LEN(OFFSET(D173,S173,0))-4))&amp;"_"&amp;_xlfn.IFNA(_xlfn.IFS(K173="Y","PKEY",L173="Y","F"&amp;UPPER(B173)),UPPER(B173))</f>
        <v>ITM_REQUEST_CREATED_DATE</v>
      </c>
      <c r="N173" s="25" t="str">
        <f ca="1">M173&amp;","&amp;B173&amp;","&amp;OFFSET(G173,0,VLOOKUP($C$5,SQL[#All],2,FALSE) ) &amp;", -- "&amp;D173</f>
        <v>ITM_REQUEST_CREATED_DATE,created_date,TEXT, -- 制定日など</v>
      </c>
      <c r="O173" s="25" t="str">
        <f t="shared" ca="1" si="14"/>
        <v>KEY_ITM_REQUEST_CREATED_DATE                : Final[str] = "ITM_REQUEST_CREATED_DATE"               # 制定日など</v>
      </c>
      <c r="P173" s="25" t="str">
        <f ca="1">$B173 &amp; " " &amp; VLOOKUP($E173, sql_type[#All], '&lt;SQL&gt; '!$E$3, FALSE )&amp; " " &amp; IFERROR( IF($K173="", VLOOKUP(K173, sql_notnull[#All], '&lt;SQL&gt; '!$E$3, FALSE ), VLOOKUP($K173, sql_pk[], '&lt;SQL&gt; '!$E$3, FALSE ) ), "" ) &amp; ", -- "  &amp;$D173</f>
        <v>created_date TEXT , -- 制定日など</v>
      </c>
      <c r="Q173" s="25"/>
      <c r="R173" s="25"/>
      <c r="S173" s="12">
        <v>-17</v>
      </c>
    </row>
    <row r="174" spans="1:19" x14ac:dyDescent="0.65">
      <c r="A174" s="12" t="str">
        <f ca="1">B87</f>
        <v>key_cat_phase</v>
      </c>
      <c r="B174" s="17" t="str">
        <f ca="1">OFFSET( tbl_request[[#Headers],[key_req]], 0, ROWS( $A$160:A174 )-1 )</f>
        <v>update_date</v>
      </c>
      <c r="C174" s="17" t="s">
        <v>4604</v>
      </c>
      <c r="D174" s="24" t="s">
        <v>4604</v>
      </c>
      <c r="E174" s="17" t="s">
        <v>18</v>
      </c>
      <c r="F174" s="17">
        <v>4</v>
      </c>
      <c r="G174" s="17" t="str">
        <f>VLOOKUP($E174, sql_type[#All], '&lt;SQL&gt; '!$E$3, FALSE )</f>
        <v>INTEGER</v>
      </c>
      <c r="H174" s="17"/>
      <c r="I174" s="17"/>
      <c r="J174" s="17" t="s">
        <v>28</v>
      </c>
      <c r="K174" s="25"/>
      <c r="L174" s="17" t="s">
        <v>19</v>
      </c>
      <c r="M174" s="25" t="str" cm="1">
        <f t="array" aca="1" ref="M174" ca="1">"ITM_"&amp;UPPER(RIGHT(OFFSET(D174,S174,0),LEN(OFFSET(D174,S174,0))-4))&amp;"_"&amp;_xlfn.IFNA(_xlfn.IFS(K174="Y","PKEY",L174="Y","F"&amp;UPPER(B174)),UPPER(B174))</f>
        <v>ITM_REQUEST_FUPDATE_DATE</v>
      </c>
      <c r="N174" s="25" t="str">
        <f ca="1">M174&amp;","&amp;B174&amp;","&amp;OFFSET(G174,0,VLOOKUP($C$5,SQL[#All],2,FALSE) ) &amp;", -- "&amp;D174</f>
        <v>ITM_REQUEST_FUPDATE_DATE,update_date,INTEGER, -- 改訂日など</v>
      </c>
      <c r="O174" s="25" t="str">
        <f t="shared" ca="1" si="14"/>
        <v>KEY_ITM_REQUEST_FUPDATE_DATE                : Final[str] = "ITM_REQUEST_FUPDATE_DATE"               # 改訂日など</v>
      </c>
      <c r="P174" s="25" t="str">
        <f ca="1">$B174 &amp; " " &amp; VLOOKUP($E174, sql_type[#All], '&lt;SQL&gt; '!$E$3, FALSE )&amp; " " &amp; IFERROR( IF($K174="", VLOOKUP(K174, sql_notnull[#All], '&lt;SQL&gt; '!$E$3, FALSE ), VLOOKUP($K174, sql_pk[], '&lt;SQL&gt; '!$E$3, FALSE ) ), "" ) &amp; ", -- "  &amp;$D174</f>
        <v>update_date INTEGER , -- 改訂日など</v>
      </c>
      <c r="Q174" s="25"/>
      <c r="R174" s="25"/>
      <c r="S174" s="12">
        <v>-18</v>
      </c>
    </row>
    <row r="175" spans="1:19" x14ac:dyDescent="0.65">
      <c r="B175" s="17" t="str">
        <f ca="1">OFFSET( tbl_request[[#Headers],[key_req]], 0, ROWS( $A$160:A175 )-1 )</f>
        <v>key_cat_request</v>
      </c>
      <c r="C175" s="17" t="s">
        <v>4656</v>
      </c>
      <c r="D175" s="24" t="s">
        <v>4656</v>
      </c>
      <c r="E175" s="17" t="s">
        <v>18</v>
      </c>
      <c r="F175" s="17">
        <v>4</v>
      </c>
      <c r="G175" s="17" t="str">
        <f>VLOOKUP($E175, sql_type[#All], '&lt;SQL&gt; '!$E$3, FALSE )</f>
        <v>INTEGER</v>
      </c>
      <c r="H175" s="17"/>
      <c r="I175" s="17"/>
      <c r="J175" s="17" t="s">
        <v>28</v>
      </c>
      <c r="K175" s="25"/>
      <c r="L175" s="17" t="s">
        <v>19</v>
      </c>
      <c r="M175" s="25" t="str" cm="1">
        <f t="array" aca="1" ref="M175" ca="1">"ITM_"&amp;UPPER(RIGHT(OFFSET(D175,S175,0),LEN(OFFSET(D175,S175,0))-4))&amp;"_"&amp;_xlfn.IFNA(_xlfn.IFS(K175="Y","PKEY",L175="Y","F"&amp;UPPER(B175)),UPPER(B175))</f>
        <v>ITM_REQUEST_FKEY_CAT_REQUEST</v>
      </c>
      <c r="N175" s="25" t="str">
        <f ca="1">M175&amp;","&amp;B175&amp;","&amp;OFFSET(G175,0,VLOOKUP($C$5,SQL[#All],2,FALSE) ) &amp;", -- "&amp;D175</f>
        <v>ITM_REQUEST_FKEY_CAT_REQUEST,key_cat_request,INTEGER, -- 要求カテゴリID</v>
      </c>
      <c r="O175" s="25" t="str">
        <f t="shared" ca="1" si="14"/>
        <v>KEY_ITM_REQUEST_FKEY_CAT_REQUEST            : Final[str] = "ITM_REQUEST_FKEY_CAT_REQUEST"           # 要求カテゴリID</v>
      </c>
      <c r="P175" s="25" t="str">
        <f ca="1">$B175 &amp; " " &amp; VLOOKUP($E175, sql_type[#All], '&lt;SQL&gt; '!$E$3, FALSE )&amp; " " &amp; IFERROR( IF($K175="", VLOOKUP(K175, sql_notnull[#All], '&lt;SQL&gt; '!$E$3, FALSE ), VLOOKUP($K175, sql_pk[], '&lt;SQL&gt; '!$E$3, FALSE ) ), "" ) &amp; ", -- "  &amp;$D175</f>
        <v>key_cat_request INTEGER , -- 要求カテゴリID</v>
      </c>
      <c r="Q175" s="25"/>
      <c r="R175" s="25"/>
      <c r="S175" s="12">
        <v>-19</v>
      </c>
    </row>
    <row r="176" spans="1:19" x14ac:dyDescent="0.65">
      <c r="B176" s="17" t="str">
        <f ca="1">OFFSET( tbl_request[[#Headers],[key_req]], 0, ROWS( $A$160:A176 )-1 )</f>
        <v>key_cat_phase</v>
      </c>
      <c r="C176" s="17" t="s">
        <v>4657</v>
      </c>
      <c r="D176" s="24" t="s">
        <v>4657</v>
      </c>
      <c r="E176" s="17" t="s">
        <v>25</v>
      </c>
      <c r="F176" s="17">
        <v>1</v>
      </c>
      <c r="G176" s="17" t="str">
        <f>VLOOKUP($E176, sql_type[#All], '&lt;SQL&gt; '!$E$3, FALSE )</f>
        <v>INTEGER</v>
      </c>
      <c r="H176" s="17"/>
      <c r="I176" s="17"/>
      <c r="J176" s="17" t="s">
        <v>28</v>
      </c>
      <c r="K176" s="25"/>
      <c r="L176" s="17" t="s">
        <v>19</v>
      </c>
      <c r="M176" s="25" t="str" cm="1">
        <f t="array" aca="1" ref="M176" ca="1">"ITM_"&amp;UPPER(RIGHT(OFFSET(D176,S176,0),LEN(OFFSET(D176,S176,0))-4))&amp;"_"&amp;_xlfn.IFNA(_xlfn.IFS(K176="Y","PKEY",L176="Y","F"&amp;UPPER(B176)),UPPER(B176))</f>
        <v>ITM_REQUEST_FKEY_CAT_PHASE</v>
      </c>
      <c r="N176" s="25" t="str">
        <f ca="1">M176&amp;","&amp;B176&amp;","&amp;OFFSET(G176,0,VLOOKUP($C$5,SQL[#All],2,FALSE) ) &amp;", -- "&amp;D176</f>
        <v>ITM_REQUEST_FKEY_CAT_PHASE,key_cat_phase,INTEGER, -- 対応フェーズID</v>
      </c>
      <c r="O176" s="25" t="str">
        <f t="shared" ca="1" si="14"/>
        <v>KEY_ITM_REQUEST_FKEY_CAT_PHASE              : Final[str] = "ITM_REQUEST_FKEY_CAT_PHASE"             # 対応フェーズID</v>
      </c>
      <c r="P176" s="25" t="str">
        <f ca="1">$B176 &amp; " " &amp; VLOOKUP($E176, sql_type[#All], '&lt;SQL&gt; '!$E$3, FALSE )&amp; " " &amp; IFERROR( IF($K176="", VLOOKUP(K176, sql_notnull[#All], '&lt;SQL&gt; '!$E$3, FALSE ), VLOOKUP($K176, sql_pk[], '&lt;SQL&gt; '!$E$3, FALSE ) ), "" ) &amp; ", -- "  &amp;$D176</f>
        <v>key_cat_phase INTEGER , -- 対応フェーズID</v>
      </c>
      <c r="Q176" s="25"/>
      <c r="R176" s="25"/>
      <c r="S176" s="12">
        <v>-20</v>
      </c>
    </row>
    <row r="177" spans="2:19" x14ac:dyDescent="0.65">
      <c r="B177" s="17" t="str">
        <f ca="1">OFFSET( tbl_request[[#Headers],[key_req]], 0, ROWS( $A$160:A177 )-1 )</f>
        <v>scope_product_genre</v>
      </c>
      <c r="C177" s="17" t="s">
        <v>4617</v>
      </c>
      <c r="D177" s="24" t="s">
        <v>4659</v>
      </c>
      <c r="E177" s="17" t="s">
        <v>24</v>
      </c>
      <c r="F177" s="17"/>
      <c r="G177" s="17" t="str">
        <f>VLOOKUP($E177, sql_type[#All], '&lt;SQL&gt; '!$E$3, FALSE )</f>
        <v>TEXT</v>
      </c>
      <c r="H177" s="17"/>
      <c r="I177" s="17"/>
      <c r="J177" s="17" t="s">
        <v>28</v>
      </c>
      <c r="K177" s="25"/>
      <c r="L177" s="17" t="s">
        <v>19</v>
      </c>
      <c r="M177" s="25" t="str" cm="1">
        <f t="array" aca="1" ref="M177" ca="1">"ITM_"&amp;UPPER(RIGHT(OFFSET(D177,S177,0),LEN(OFFSET(D177,S177,0))-4))&amp;"_"&amp;_xlfn.IFNA(_xlfn.IFS(K177="Y","PKEY",L177="Y","F"&amp;UPPER(B177)),UPPER(B177))</f>
        <v>ITM_REQUEST_FSCOPE_PRODUCT_GENRE</v>
      </c>
      <c r="N177" s="25" t="str">
        <f ca="1">M177&amp;","&amp;B177&amp;","&amp;OFFSET(G177,0,VLOOKUP($C$5,SQL[#All],2,FALSE) ) &amp;", -- "&amp;D177</f>
        <v>ITM_REQUEST_FSCOPE_PRODUCT_GENRE,scope_product_genre,TEXT, -- 製品ジャンル(複数指定可 中間テーブル初回生成用)</v>
      </c>
      <c r="O177" s="25" t="str">
        <f t="shared" ca="1" si="14"/>
        <v>KEY_ITM_REQUEST_FSCOPE_PRODUCT_GENRE        : Final[str] = "ITM_REQUEST_FSCOPE_PRODUCT_GENRE"       # 製品ジャンル(複数指定可 中間テーブル初回生成用)</v>
      </c>
      <c r="P177" s="25" t="str">
        <f ca="1">$B177 &amp; " " &amp; VLOOKUP($E177, sql_type[#All], '&lt;SQL&gt; '!$E$3, FALSE )&amp; " " &amp; IFERROR( IF($K177="", VLOOKUP(K177, sql_notnull[#All], '&lt;SQL&gt; '!$E$3, FALSE ), VLOOKUP($K177, sql_pk[], '&lt;SQL&gt; '!$E$3, FALSE ) ), "" ) &amp; ", -- "  &amp;$D177</f>
        <v>scope_product_genre TEXT , -- 製品ジャンル(複数指定可 中間テーブル初回生成用)</v>
      </c>
      <c r="Q177" s="25"/>
      <c r="R177" s="25"/>
      <c r="S177" s="12">
        <v>-21</v>
      </c>
    </row>
    <row r="178" spans="2:19" x14ac:dyDescent="0.65">
      <c r="B178" s="17" t="str">
        <f ca="1">OFFSET( tbl_request[[#Headers],[key_req]], 0, ROWS( $A$160:A178 )-1 )</f>
        <v>scope_service_genre</v>
      </c>
      <c r="C178" s="17" t="s">
        <v>4648</v>
      </c>
      <c r="D178" s="24" t="s">
        <v>4660</v>
      </c>
      <c r="E178" s="17" t="s">
        <v>24</v>
      </c>
      <c r="F178" s="17"/>
      <c r="G178" s="17" t="str">
        <f>VLOOKUP($E178, sql_type[#All], '&lt;SQL&gt; '!$E$3, FALSE )</f>
        <v>TEXT</v>
      </c>
      <c r="H178" s="17"/>
      <c r="I178" s="17"/>
      <c r="J178" s="17" t="s">
        <v>28</v>
      </c>
      <c r="K178" s="25"/>
      <c r="L178" s="17" t="s">
        <v>19</v>
      </c>
      <c r="M178" s="25" t="str" cm="1">
        <f t="array" aca="1" ref="M178" ca="1">"ITM_"&amp;UPPER(RIGHT(OFFSET(D178,S178,0),LEN(OFFSET(D178,S178,0))-4))&amp;"_"&amp;_xlfn.IFNA(_xlfn.IFS(K178="Y","PKEY",L178="Y","F"&amp;UPPER(B178)),UPPER(B178))</f>
        <v>ITM_REQUEST_FSCOPE_SERVICE_GENRE</v>
      </c>
      <c r="N178" s="25" t="str">
        <f ca="1">M178&amp;","&amp;B178&amp;","&amp;OFFSET(G178,0,VLOOKUP($C$5,SQL[#All],2,FALSE) ) &amp;", -- "&amp;D178</f>
        <v>ITM_REQUEST_FSCOPE_SERVICE_GENRE,scope_service_genre,TEXT, -- サービスジャンル(複数指定可 中間テーブル初回生成用)</v>
      </c>
      <c r="O178" s="25" t="str">
        <f t="shared" ca="1" si="14"/>
        <v>KEY_ITM_REQUEST_FSCOPE_SERVICE_GENRE        : Final[str] = "ITM_REQUEST_FSCOPE_SERVICE_GENRE"       # サービスジャンル(複数指定可 中間テーブル初回生成用)</v>
      </c>
      <c r="P178" s="25" t="str">
        <f ca="1">$B178 &amp; " " &amp; VLOOKUP($E178, sql_type[#All], '&lt;SQL&gt; '!$E$3, FALSE )&amp; " " &amp; IFERROR( IF($K178="", VLOOKUP(K178, sql_notnull[#All], '&lt;SQL&gt; '!$E$3, FALSE ), VLOOKUP($K178, sql_pk[], '&lt;SQL&gt; '!$E$3, FALSE ) ), "" ) &amp; ", -- "  &amp;$D178</f>
        <v>scope_service_genre TEXT , -- サービスジャンル(複数指定可 中間テーブル初回生成用)</v>
      </c>
      <c r="Q178" s="25"/>
      <c r="R178" s="25"/>
      <c r="S178" s="12">
        <v>-22</v>
      </c>
    </row>
    <row r="179" spans="2:19" x14ac:dyDescent="0.65">
      <c r="B179" s="17" t="str">
        <f ca="1">OFFSET( tbl_request[[#Headers],[key_req]], 0, ROWS( $A$160:A179 )-1 )</f>
        <v>scope_equipment</v>
      </c>
      <c r="C179" s="17" t="s">
        <v>4616</v>
      </c>
      <c r="D179" s="24" t="s">
        <v>4661</v>
      </c>
      <c r="E179" s="17" t="s">
        <v>24</v>
      </c>
      <c r="F179" s="17"/>
      <c r="G179" s="17" t="str">
        <f>VLOOKUP($E179, sql_type[#All], '&lt;SQL&gt; '!$E$3, FALSE )</f>
        <v>TEXT</v>
      </c>
      <c r="H179" s="17"/>
      <c r="I179" s="17"/>
      <c r="J179" s="17" t="s">
        <v>28</v>
      </c>
      <c r="K179" s="25"/>
      <c r="L179" s="17" t="s">
        <v>19</v>
      </c>
      <c r="M179" s="25" t="str" cm="1">
        <f t="array" aca="1" ref="M179" ca="1">"ITM_"&amp;UPPER(RIGHT(OFFSET(D179,S179,0),LEN(OFFSET(D179,S179,0))-4))&amp;"_"&amp;_xlfn.IFNA(_xlfn.IFS(K179="Y","PKEY",L179="Y","F"&amp;UPPER(B179)),UPPER(B179))</f>
        <v>ITM_REQUEST_FSCOPE_EQUIPMENT</v>
      </c>
      <c r="N179" s="25" t="str">
        <f ca="1">M179&amp;","&amp;B179&amp;","&amp;OFFSET(G179,0,VLOOKUP($C$5,SQL[#All],2,FALSE) ) &amp;", -- "&amp;D179</f>
        <v>ITM_REQUEST_FSCOPE_EQUIPMENT,scope_equipment,TEXT, -- 装備(複数指定可 中間テーブル初回生成用)</v>
      </c>
      <c r="O179" s="25" t="str">
        <f t="shared" ca="1" si="14"/>
        <v>KEY_ITM_REQUEST_FSCOPE_EQUIPMENT            : Final[str] = "ITM_REQUEST_FSCOPE_EQUIPMENT"           # 装備(複数指定可 中間テーブル初回生成用)</v>
      </c>
      <c r="P179" s="25" t="str">
        <f ca="1">$B179 &amp; " " &amp; VLOOKUP($E179, sql_type[#All], '&lt;SQL&gt; '!$E$3, FALSE )&amp; " " &amp; IFERROR( IF($K179="", VLOOKUP(K179, sql_notnull[#All], '&lt;SQL&gt; '!$E$3, FALSE ), VLOOKUP($K179, sql_pk[], '&lt;SQL&gt; '!$E$3, FALSE ) ), "" ) &amp; ", -- "  &amp;$D179</f>
        <v>scope_equipment TEXT , -- 装備(複数指定可 中間テーブル初回生成用)</v>
      </c>
      <c r="Q179" s="25"/>
      <c r="R179" s="25"/>
      <c r="S179" s="12">
        <v>-23</v>
      </c>
    </row>
    <row r="180" spans="2:19" x14ac:dyDescent="0.65">
      <c r="B180" s="17" t="str">
        <f ca="1">OFFSET( tbl_request[[#Headers],[key_req]], 0, ROWS( $A$160:A180 )-1 )</f>
        <v>scope_pii</v>
      </c>
      <c r="C180" s="17" t="s">
        <v>4643</v>
      </c>
      <c r="D180" s="24" t="s">
        <v>4662</v>
      </c>
      <c r="E180" s="17" t="s">
        <v>24</v>
      </c>
      <c r="F180" s="17"/>
      <c r="G180" s="17" t="str">
        <f>VLOOKUP($E180, sql_type[#All], '&lt;SQL&gt; '!$E$3, FALSE )</f>
        <v>TEXT</v>
      </c>
      <c r="H180" s="17"/>
      <c r="I180" s="17"/>
      <c r="J180" s="17" t="s">
        <v>28</v>
      </c>
      <c r="K180" s="25"/>
      <c r="L180" s="17" t="s">
        <v>19</v>
      </c>
      <c r="M180" s="25" t="str" cm="1">
        <f t="array" aca="1" ref="M180" ca="1">"ITM_"&amp;UPPER(RIGHT(OFFSET(D180,S180,0),LEN(OFFSET(D180,S180,0))-4))&amp;"_"&amp;_xlfn.IFNA(_xlfn.IFS(K180="Y","PKEY",L180="Y","F"&amp;UPPER(B180)),UPPER(B180))</f>
        <v>ITM_REQUEST_FSCOPE_PII</v>
      </c>
      <c r="N180" s="25" t="str">
        <f ca="1">M180&amp;","&amp;B180&amp;","&amp;OFFSET(G180,0,VLOOKUP($C$5,SQL[#All],2,FALSE) ) &amp;", -- "&amp;D180</f>
        <v>ITM_REQUEST_FSCOPE_PII,scope_pii,TEXT, -- 個人情報(複数指定可 中間テーブル初回生成用)</v>
      </c>
      <c r="O180" s="25" t="str">
        <f t="shared" ca="1" si="14"/>
        <v>KEY_ITM_REQUEST_FSCOPE_PII                  : Final[str] = "ITM_REQUEST_FSCOPE_PII"                 # 個人情報(複数指定可 中間テーブル初回生成用)</v>
      </c>
      <c r="P180" s="25" t="str">
        <f ca="1">$B180 &amp; " " &amp; VLOOKUP($E180, sql_type[#All], '&lt;SQL&gt; '!$E$3, FALSE )&amp; " " &amp; IFERROR( IF($K180="", VLOOKUP(K180, sql_notnull[#All], '&lt;SQL&gt; '!$E$3, FALSE ), VLOOKUP($K180, sql_pk[], '&lt;SQL&gt; '!$E$3, FALSE ) ), "" ) &amp; ", -- "  &amp;$D180</f>
        <v>scope_pii TEXT , -- 個人情報(複数指定可 中間テーブル初回生成用)</v>
      </c>
      <c r="Q180" s="25"/>
      <c r="R180" s="25"/>
      <c r="S180" s="12">
        <v>-24</v>
      </c>
    </row>
    <row r="181" spans="2:19" x14ac:dyDescent="0.65">
      <c r="B181" s="17" t="str">
        <f ca="1">OFFSET( tbl_request[[#Headers],[key_req]], 0, ROWS( $A$160:A181 )-1 )</f>
        <v>scope_design_domain</v>
      </c>
      <c r="C181" s="17" t="s">
        <v>4628</v>
      </c>
      <c r="D181" s="24" t="s">
        <v>4663</v>
      </c>
      <c r="E181" s="17" t="s">
        <v>24</v>
      </c>
      <c r="F181" s="17"/>
      <c r="G181" s="17" t="str">
        <f>VLOOKUP($E181, sql_type[#All], '&lt;SQL&gt; '!$E$3, FALSE )</f>
        <v>TEXT</v>
      </c>
      <c r="H181" s="17"/>
      <c r="I181" s="17"/>
      <c r="J181" s="17" t="s">
        <v>28</v>
      </c>
      <c r="K181" s="25"/>
      <c r="L181" s="17" t="s">
        <v>19</v>
      </c>
      <c r="M181" s="25" t="str" cm="1">
        <f t="array" aca="1" ref="M181" ca="1">"ITM_"&amp;UPPER(RIGHT(OFFSET(D181,S181,0),LEN(OFFSET(D181,S181,0))-4))&amp;"_"&amp;_xlfn.IFNA(_xlfn.IFS(K181="Y","PKEY",L181="Y","F"&amp;UPPER(B181)),UPPER(B181))</f>
        <v>ITM_REQUEST_FSCOPE_DESIGN_DOMAIN</v>
      </c>
      <c r="N181" s="25" t="str">
        <f ca="1">M181&amp;","&amp;B181&amp;","&amp;OFFSET(G181,0,VLOOKUP($C$5,SQL[#All],2,FALSE) ) &amp;", -- "&amp;D181</f>
        <v>ITM_REQUEST_FSCOPE_DESIGN_DOMAIN,scope_design_domain,TEXT, -- 設計領域(複数指定可 中間テーブル初回生成用)</v>
      </c>
      <c r="O181" s="25" t="str">
        <f t="shared" ca="1" si="14"/>
        <v>KEY_ITM_REQUEST_FSCOPE_DESIGN_DOMAIN        : Final[str] = "ITM_REQUEST_FSCOPE_DESIGN_DOMAIN"       # 設計領域(複数指定可 中間テーブル初回生成用)</v>
      </c>
      <c r="P181" s="25" t="str">
        <f ca="1">$B181 &amp; " " &amp; VLOOKUP($E181, sql_type[#All], '&lt;SQL&gt; '!$E$3, FALSE )&amp; " " &amp; IFERROR( IF($K181="", VLOOKUP(K181, sql_notnull[#All], '&lt;SQL&gt; '!$E$3, FALSE ), VLOOKUP($K181, sql_pk[], '&lt;SQL&gt; '!$E$3, FALSE ) ), "" ) &amp; ", -- "  &amp;$D181</f>
        <v>scope_design_domain TEXT , -- 設計領域(複数指定可 中間テーブル初回生成用)</v>
      </c>
      <c r="Q181" s="25"/>
      <c r="R181" s="25"/>
      <c r="S181" s="12">
        <v>-25</v>
      </c>
    </row>
    <row r="182" spans="2:19" x14ac:dyDescent="0.65">
      <c r="B182" s="17" t="str">
        <f ca="1">OFFSET( tbl_request[[#Headers],[key_req]], 0, ROWS( $A$160:A182 )-1 )</f>
        <v>unique_search</v>
      </c>
      <c r="C182" s="17" t="s">
        <v>4658</v>
      </c>
      <c r="D182" s="24" t="s">
        <v>4664</v>
      </c>
      <c r="E182" s="17" t="s">
        <v>24</v>
      </c>
      <c r="F182" s="17"/>
      <c r="G182" s="17" t="str">
        <f>VLOOKUP($E182, sql_type[#All], '&lt;SQL&gt; '!$E$3, FALSE )</f>
        <v>TEXT</v>
      </c>
      <c r="H182" s="17"/>
      <c r="I182" s="17"/>
      <c r="J182" s="17" t="s">
        <v>28</v>
      </c>
      <c r="K182" s="25"/>
      <c r="L182" s="17"/>
      <c r="M182" s="25" t="str" cm="1">
        <f t="array" aca="1" ref="M182" ca="1">"ITM_"&amp;UPPER(RIGHT(OFFSET(D182,S182,0),LEN(OFFSET(D182,S182,0))-4))&amp;"_"&amp;_xlfn.IFNA(_xlfn.IFS(K182="Y","PKEY",L182="Y","F"&amp;UPPER(B182)),UPPER(B182))</f>
        <v>ITM_REQUEST_UNIQUE_SEARCH</v>
      </c>
      <c r="N182" s="25" t="str">
        <f ca="1">M182&amp;","&amp;B182&amp;","&amp;OFFSET(G182,0,VLOOKUP($C$5,SQL[#All],2,FALSE) ) &amp;", -- "&amp;D182</f>
        <v>ITM_REQUEST_UNIQUE_SEARCH,unique_search,TEXT, -- 固有条件(複数指定可 中間テーブル初回生成用)</v>
      </c>
      <c r="O182" s="25" t="str">
        <f t="shared" ca="1" si="14"/>
        <v>KEY_ITM_REQUEST_UNIQUE_SEARCH               : Final[str] = "ITM_REQUEST_UNIQUE_SEARCH"              # 固有条件(複数指定可 中間テーブル初回生成用)</v>
      </c>
      <c r="P182" s="25" t="str">
        <f ca="1">$B182 &amp; " " &amp; VLOOKUP($E182, sql_type[#All], '&lt;SQL&gt; '!$E$3, FALSE )&amp; " " &amp; IFERROR( IF($K182="", VLOOKUP(K182, sql_notnull[#All], '&lt;SQL&gt; '!$E$3, FALSE ), VLOOKUP($K182, sql_pk[], '&lt;SQL&gt; '!$E$3, FALSE ) ), "" ) &amp; ", -- "  &amp;$D182</f>
        <v>unique_search TEXT , -- 固有条件(複数指定可 中間テーブル初回生成用)</v>
      </c>
      <c r="Q182" s="25"/>
      <c r="R182" s="25"/>
      <c r="S182" s="12">
        <v>-26</v>
      </c>
    </row>
    <row r="183" spans="2:19" x14ac:dyDescent="0.65">
      <c r="B183" s="17"/>
      <c r="C183" s="17"/>
      <c r="D183" s="24"/>
      <c r="E183" s="17"/>
      <c r="F183" s="17"/>
      <c r="G183" s="17"/>
      <c r="H183" s="17"/>
      <c r="I183" s="17"/>
      <c r="J183" s="17"/>
      <c r="K183" s="25"/>
      <c r="L183" s="17"/>
      <c r="M183" s="17"/>
      <c r="N183" s="25"/>
      <c r="O183" s="25"/>
      <c r="P183" s="25"/>
      <c r="Q183" s="25"/>
      <c r="R183" s="25"/>
      <c r="S183" s="12">
        <v>-27</v>
      </c>
    </row>
    <row r="184" spans="2:19" x14ac:dyDescent="0.65">
      <c r="B184" s="17"/>
      <c r="C184" s="17"/>
      <c r="D184" s="24"/>
      <c r="E184" s="17"/>
      <c r="F184" s="17"/>
      <c r="G184" s="17"/>
      <c r="H184" s="17"/>
      <c r="I184" s="17"/>
      <c r="J184" s="17"/>
      <c r="K184" s="25"/>
      <c r="L184" s="17"/>
      <c r="M184" s="17"/>
      <c r="N184" s="25"/>
      <c r="O184" s="25"/>
      <c r="P184" s="25"/>
      <c r="Q184" s="25"/>
      <c r="R184" s="25"/>
      <c r="S184" s="12">
        <v>-28</v>
      </c>
    </row>
    <row r="185" spans="2:19" x14ac:dyDescent="0.65">
      <c r="B185" s="17"/>
      <c r="C185" s="17"/>
      <c r="D185" s="24"/>
      <c r="E185" s="17"/>
      <c r="F185" s="17"/>
      <c r="G185" s="17"/>
      <c r="H185" s="17"/>
      <c r="I185" s="17"/>
      <c r="J185" s="17"/>
      <c r="K185" s="25"/>
      <c r="L185" s="17"/>
      <c r="M185" s="17"/>
      <c r="N185" s="25"/>
      <c r="O185" s="25"/>
      <c r="P185" s="25"/>
      <c r="Q185" s="25"/>
      <c r="R185" s="25"/>
      <c r="S185" s="12">
        <v>-29</v>
      </c>
    </row>
    <row r="186" spans="2:19" x14ac:dyDescent="0.65">
      <c r="C186" s="12"/>
      <c r="D186" s="12"/>
    </row>
    <row r="187" spans="2:19" x14ac:dyDescent="0.65">
      <c r="C187" s="12"/>
      <c r="D187" s="12"/>
    </row>
    <row r="188" spans="2:19" x14ac:dyDescent="0.65">
      <c r="C188" s="12"/>
      <c r="D188" s="12"/>
    </row>
    <row r="189" spans="2:19" x14ac:dyDescent="0.65">
      <c r="C189" s="12"/>
      <c r="D189" s="12"/>
    </row>
    <row r="190" spans="2:19" x14ac:dyDescent="0.65">
      <c r="C190" s="35"/>
    </row>
    <row r="191" spans="2:19" x14ac:dyDescent="0.65">
      <c r="C191" s="35"/>
    </row>
    <row r="192" spans="2:19" x14ac:dyDescent="0.65">
      <c r="C192" s="35"/>
      <c r="D192" s="35"/>
    </row>
    <row r="193" spans="1:16" x14ac:dyDescent="0.65">
      <c r="A193" s="12" t="s">
        <v>4404</v>
      </c>
      <c r="D193" s="35"/>
    </row>
    <row r="194" spans="1:16" x14ac:dyDescent="0.65">
      <c r="C194" s="12" t="s">
        <v>4405</v>
      </c>
      <c r="D194" s="35" t="s">
        <v>4406</v>
      </c>
    </row>
    <row r="195" spans="1:16" x14ac:dyDescent="0.65">
      <c r="C195" s="12" t="s">
        <v>4409</v>
      </c>
      <c r="D195" s="35" t="s">
        <v>4410</v>
      </c>
    </row>
    <row r="196" spans="1:16" x14ac:dyDescent="0.65">
      <c r="C196" s="12" t="s">
        <v>4407</v>
      </c>
      <c r="D196" s="35" t="s">
        <v>4408</v>
      </c>
    </row>
    <row r="197" spans="1:16" x14ac:dyDescent="0.65">
      <c r="C197" s="35" t="s">
        <v>4673</v>
      </c>
      <c r="D197" s="35" t="s">
        <v>4674</v>
      </c>
    </row>
    <row r="198" spans="1:16" x14ac:dyDescent="0.65">
      <c r="C198" s="35"/>
      <c r="D198" s="35"/>
    </row>
    <row r="199" spans="1:16" x14ac:dyDescent="0.65">
      <c r="C199" s="35"/>
      <c r="D199" s="35"/>
    </row>
    <row r="200" spans="1:16" x14ac:dyDescent="0.65">
      <c r="C200" s="35"/>
      <c r="D200" s="35"/>
    </row>
    <row r="201" spans="1:16" x14ac:dyDescent="0.65">
      <c r="C201" s="35"/>
      <c r="D201" s="35"/>
    </row>
    <row r="202" spans="1:16" x14ac:dyDescent="0.65">
      <c r="C202" s="35"/>
      <c r="D202" s="35"/>
    </row>
    <row r="203" spans="1:16" x14ac:dyDescent="0.65">
      <c r="D203" s="35"/>
    </row>
    <row r="204" spans="1:16" x14ac:dyDescent="0.65">
      <c r="D204" s="35"/>
      <c r="J204" s="12"/>
      <c r="N204" s="14"/>
      <c r="O204" s="14"/>
      <c r="P204" s="14"/>
    </row>
    <row r="205" spans="1:16" x14ac:dyDescent="0.65">
      <c r="D205" s="35"/>
      <c r="N205" s="14"/>
      <c r="O205" s="14"/>
      <c r="P205" s="14"/>
    </row>
    <row r="206" spans="1:16" x14ac:dyDescent="0.65">
      <c r="D206" s="35"/>
      <c r="N206" s="14"/>
      <c r="O206" s="14"/>
      <c r="P206" s="14"/>
    </row>
    <row r="207" spans="1:16" x14ac:dyDescent="0.65">
      <c r="D207" s="35"/>
      <c r="N207" s="14"/>
      <c r="O207" s="14"/>
      <c r="P207" s="14"/>
    </row>
    <row r="208" spans="1:16" x14ac:dyDescent="0.65">
      <c r="D208" s="35"/>
      <c r="N208" s="14"/>
      <c r="O208" s="14"/>
      <c r="P208" s="14"/>
    </row>
    <row r="209" spans="4:16" x14ac:dyDescent="0.65">
      <c r="D209" s="35"/>
      <c r="N209" s="14"/>
      <c r="O209" s="14"/>
      <c r="P209" s="14"/>
    </row>
    <row r="210" spans="4:16" x14ac:dyDescent="0.65">
      <c r="D210" s="35"/>
      <c r="N210" s="14"/>
      <c r="O210" s="14"/>
      <c r="P210" s="14"/>
    </row>
    <row r="211" spans="4:16" x14ac:dyDescent="0.65">
      <c r="D211" s="35"/>
      <c r="N211" s="14"/>
      <c r="O211" s="14"/>
      <c r="P211" s="14"/>
    </row>
    <row r="212" spans="4:16" x14ac:dyDescent="0.65">
      <c r="D212" s="35"/>
      <c r="N212" s="14"/>
      <c r="O212" s="14"/>
      <c r="P212" s="14"/>
    </row>
    <row r="213" spans="4:16" x14ac:dyDescent="0.65">
      <c r="D213" s="35"/>
      <c r="N213" s="14"/>
      <c r="O213" s="14"/>
      <c r="P213" s="14"/>
    </row>
    <row r="214" spans="4:16" x14ac:dyDescent="0.65">
      <c r="D214" s="35"/>
      <c r="N214" s="14"/>
      <c r="O214" s="14"/>
      <c r="P214" s="14"/>
    </row>
    <row r="215" spans="4:16" x14ac:dyDescent="0.65">
      <c r="D215" s="35"/>
      <c r="N215" s="14"/>
      <c r="O215" s="14"/>
      <c r="P215" s="14"/>
    </row>
    <row r="216" spans="4:16" x14ac:dyDescent="0.65">
      <c r="D216" s="35"/>
      <c r="N216" s="14"/>
      <c r="O216" s="14"/>
      <c r="P216" s="14"/>
    </row>
    <row r="217" spans="4:16" x14ac:dyDescent="0.65">
      <c r="D217" s="35"/>
      <c r="N217" s="14"/>
      <c r="O217" s="14"/>
      <c r="P217" s="14"/>
    </row>
    <row r="218" spans="4:16" x14ac:dyDescent="0.65">
      <c r="D218" s="35"/>
      <c r="N218" s="14"/>
      <c r="O218" s="14"/>
      <c r="P218" s="14"/>
    </row>
    <row r="219" spans="4:16" x14ac:dyDescent="0.65">
      <c r="D219" s="35"/>
      <c r="N219" s="14"/>
      <c r="O219" s="14"/>
      <c r="P219" s="14"/>
    </row>
    <row r="220" spans="4:16" x14ac:dyDescent="0.65">
      <c r="D220" s="35"/>
      <c r="N220" s="14"/>
      <c r="O220" s="14"/>
      <c r="P220" s="14"/>
    </row>
    <row r="221" spans="4:16" x14ac:dyDescent="0.65">
      <c r="D221" s="35"/>
      <c r="N221" s="14"/>
      <c r="O221" s="14"/>
      <c r="P221" s="14"/>
    </row>
    <row r="222" spans="4:16" x14ac:dyDescent="0.65">
      <c r="D222" s="35"/>
      <c r="N222" s="14"/>
      <c r="O222" s="14"/>
      <c r="P222" s="14"/>
    </row>
    <row r="223" spans="4:16" x14ac:dyDescent="0.65">
      <c r="D223" s="35"/>
      <c r="N223" s="14"/>
      <c r="O223" s="14"/>
      <c r="P223" s="14"/>
    </row>
    <row r="224" spans="4:16" x14ac:dyDescent="0.65">
      <c r="D224" s="35"/>
      <c r="N224" s="14"/>
      <c r="O224" s="14"/>
      <c r="P224" s="14"/>
    </row>
    <row r="225" spans="4:16" x14ac:dyDescent="0.65">
      <c r="D225" s="35"/>
      <c r="N225" s="14"/>
      <c r="O225" s="14"/>
      <c r="P225" s="14"/>
    </row>
    <row r="226" spans="4:16" x14ac:dyDescent="0.65">
      <c r="D226" s="35"/>
      <c r="N226" s="14"/>
      <c r="O226" s="14"/>
      <c r="P226" s="14"/>
    </row>
    <row r="227" spans="4:16" x14ac:dyDescent="0.65">
      <c r="D227" s="35"/>
      <c r="N227" s="14"/>
      <c r="O227" s="14"/>
      <c r="P227" s="14"/>
    </row>
    <row r="228" spans="4:16" x14ac:dyDescent="0.65">
      <c r="D228" s="35"/>
    </row>
    <row r="229" spans="4:16" x14ac:dyDescent="0.65">
      <c r="D229" s="35"/>
    </row>
    <row r="230" spans="4:16" x14ac:dyDescent="0.65">
      <c r="D230" s="35"/>
    </row>
    <row r="231" spans="4:16" x14ac:dyDescent="0.65">
      <c r="D231" s="35"/>
    </row>
    <row r="232" spans="4:16" x14ac:dyDescent="0.65">
      <c r="D232" s="35"/>
    </row>
    <row r="233" spans="4:16" x14ac:dyDescent="0.65">
      <c r="D233" s="35"/>
    </row>
    <row r="234" spans="4:16" x14ac:dyDescent="0.65">
      <c r="D234" s="35"/>
    </row>
    <row r="235" spans="4:16" x14ac:dyDescent="0.65">
      <c r="D235" s="35"/>
    </row>
    <row r="236" spans="4:16" x14ac:dyDescent="0.65">
      <c r="D236" s="35"/>
    </row>
    <row r="237" spans="4:16" x14ac:dyDescent="0.65">
      <c r="D237" s="35"/>
    </row>
  </sheetData>
  <autoFilter ref="B7:R185" xr:uid="{14F108CB-5ACD-428E-B362-4295CF9CA239}"/>
  <phoneticPr fontId="1"/>
  <dataValidations disablePrompts="1" count="1">
    <dataValidation type="list" allowBlank="1" showInputMessage="1" showErrorMessage="1" sqref="C5" xr:uid="{A26D158E-DEF2-4310-ACCD-4F9D404C30FC}">
      <formula1>SQLリスト</formula1>
    </dataValidation>
  </dataValidations>
  <hyperlinks>
    <hyperlink ref="A2" r:id="rId1" xr:uid="{126642D4-356F-411D-887F-212566D6802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E0CF-E8F1-4306-AFAC-79E2E14FBE7B}">
  <sheetPr codeName="Sheet2"/>
  <dimension ref="A1:S1416"/>
  <sheetViews>
    <sheetView topLeftCell="A706" workbookViewId="0">
      <selection activeCell="B731" sqref="B731"/>
    </sheetView>
  </sheetViews>
  <sheetFormatPr defaultColWidth="8.88671875" defaultRowHeight="12.3" x14ac:dyDescent="0.65"/>
  <cols>
    <col min="1" max="1" width="10.88671875" style="3" customWidth="1"/>
    <col min="2" max="2" width="14.33203125" style="3" bestFit="1" customWidth="1"/>
    <col min="3" max="3" width="86.6640625" style="3" bestFit="1" customWidth="1"/>
    <col min="4" max="7" width="16.6640625" style="3" customWidth="1"/>
    <col min="8" max="8" width="19.44140625" style="3" bestFit="1" customWidth="1"/>
    <col min="9" max="11" width="16.6640625" style="3" customWidth="1"/>
    <col min="12" max="12" width="14.6640625" style="3" customWidth="1"/>
    <col min="13" max="13" width="51.33203125" style="3" bestFit="1" customWidth="1"/>
    <col min="14" max="14" width="71.5546875" style="3" bestFit="1" customWidth="1"/>
    <col min="15" max="15" width="21.109375" style="3" customWidth="1"/>
    <col min="16" max="17" width="8.88671875" style="1"/>
    <col min="18" max="16384" width="8.88671875" style="3"/>
  </cols>
  <sheetData>
    <row r="1" spans="1:19" ht="13.5" x14ac:dyDescent="0.65">
      <c r="A1" s="17" t="s">
        <v>16</v>
      </c>
      <c r="B1" s="17" t="s">
        <v>20</v>
      </c>
      <c r="C1" s="17" t="s">
        <v>22</v>
      </c>
      <c r="D1" s="17" t="s">
        <v>4413</v>
      </c>
      <c r="E1" s="17" t="s">
        <v>23</v>
      </c>
      <c r="F1" s="17" t="s">
        <v>4412</v>
      </c>
      <c r="G1" s="17" t="s">
        <v>26</v>
      </c>
      <c r="H1" s="17" t="s">
        <v>29</v>
      </c>
    </row>
    <row r="2" spans="1:19" ht="14.7" x14ac:dyDescent="0.65">
      <c r="A2" s="34">
        <v>1</v>
      </c>
      <c r="B2" s="3" t="s">
        <v>40</v>
      </c>
      <c r="C2" s="1" t="s">
        <v>41</v>
      </c>
      <c r="D2" s="1">
        <v>1</v>
      </c>
      <c r="E2" t="s">
        <v>42</v>
      </c>
      <c r="F2" s="3">
        <v>1</v>
      </c>
      <c r="G2" s="33">
        <v>32874</v>
      </c>
      <c r="H2" s="33">
        <v>32874</v>
      </c>
      <c r="I2" s="1"/>
      <c r="J2" s="1"/>
      <c r="K2" s="1"/>
      <c r="L2" s="1"/>
      <c r="M2" s="1"/>
      <c r="P2" s="3"/>
      <c r="R2" s="1"/>
      <c r="S2" s="1"/>
    </row>
    <row r="3" spans="1:19" ht="14.7" x14ac:dyDescent="0.65">
      <c r="A3" s="34">
        <v>2</v>
      </c>
      <c r="B3" s="3" t="s">
        <v>46</v>
      </c>
      <c r="C3" s="1" t="s">
        <v>47</v>
      </c>
      <c r="D3" s="1">
        <v>2</v>
      </c>
      <c r="E3" t="s">
        <v>48</v>
      </c>
      <c r="F3" s="3">
        <v>1</v>
      </c>
      <c r="G3" s="33">
        <v>32874</v>
      </c>
      <c r="H3" s="33">
        <v>32874</v>
      </c>
      <c r="I3" s="1"/>
      <c r="J3" s="1"/>
      <c r="K3" s="1"/>
      <c r="L3" s="1"/>
      <c r="M3" s="1"/>
      <c r="P3" s="3"/>
      <c r="R3" s="1"/>
      <c r="S3" s="1"/>
    </row>
    <row r="4" spans="1:19" ht="14.7" x14ac:dyDescent="0.65">
      <c r="A4" s="34">
        <v>3</v>
      </c>
      <c r="B4" s="3" t="s">
        <v>50</v>
      </c>
      <c r="C4" s="1" t="s">
        <v>51</v>
      </c>
      <c r="D4" s="1">
        <v>3</v>
      </c>
      <c r="E4" t="s">
        <v>52</v>
      </c>
      <c r="F4" s="3">
        <v>1</v>
      </c>
      <c r="G4" s="33">
        <v>32874</v>
      </c>
      <c r="H4" s="33">
        <v>32874</v>
      </c>
      <c r="I4" s="1"/>
      <c r="J4" s="1"/>
      <c r="K4" s="1"/>
      <c r="L4" s="1"/>
      <c r="M4" s="1"/>
      <c r="P4" s="3"/>
      <c r="R4" s="1"/>
      <c r="S4" s="1"/>
    </row>
    <row r="5" spans="1:19" ht="14.7" x14ac:dyDescent="0.65">
      <c r="A5" s="34">
        <v>4</v>
      </c>
      <c r="B5" s="3" t="s">
        <v>54</v>
      </c>
      <c r="C5" s="1" t="s">
        <v>55</v>
      </c>
      <c r="D5" s="1">
        <v>3</v>
      </c>
      <c r="E5" t="s">
        <v>56</v>
      </c>
      <c r="F5" s="3">
        <v>1</v>
      </c>
      <c r="G5" s="33">
        <v>32874</v>
      </c>
      <c r="H5" s="33">
        <v>32874</v>
      </c>
      <c r="I5" s="1"/>
      <c r="J5" s="1"/>
      <c r="K5" s="1"/>
      <c r="L5" s="1"/>
      <c r="M5" s="1"/>
      <c r="P5" s="3"/>
      <c r="R5" s="1"/>
      <c r="S5" s="1"/>
    </row>
    <row r="6" spans="1:19" ht="14.7" x14ac:dyDescent="0.65">
      <c r="A6" s="34">
        <v>5</v>
      </c>
      <c r="B6" s="3" t="s">
        <v>57</v>
      </c>
      <c r="C6" s="1" t="s">
        <v>58</v>
      </c>
      <c r="D6" s="1">
        <v>3</v>
      </c>
      <c r="E6" t="s">
        <v>59</v>
      </c>
      <c r="F6" s="3">
        <v>1</v>
      </c>
      <c r="G6" s="33">
        <v>32874</v>
      </c>
      <c r="H6" s="33">
        <v>32874</v>
      </c>
      <c r="I6" s="1"/>
      <c r="J6" s="1"/>
      <c r="K6" s="1"/>
      <c r="L6" s="1"/>
      <c r="M6" s="1"/>
      <c r="P6" s="3"/>
      <c r="R6" s="1"/>
      <c r="S6" s="1"/>
    </row>
    <row r="7" spans="1:19" ht="14.7" x14ac:dyDescent="0.65">
      <c r="A7" s="34">
        <v>6</v>
      </c>
      <c r="B7" s="3" t="s">
        <v>60</v>
      </c>
      <c r="C7" s="1" t="s">
        <v>61</v>
      </c>
      <c r="D7" s="1">
        <v>3</v>
      </c>
      <c r="E7" t="s">
        <v>62</v>
      </c>
      <c r="F7" s="3">
        <v>1</v>
      </c>
      <c r="G7" s="33">
        <v>32874</v>
      </c>
      <c r="H7" s="33">
        <v>32874</v>
      </c>
      <c r="I7" s="1"/>
      <c r="J7" s="1"/>
      <c r="K7" s="1"/>
      <c r="L7" s="1"/>
      <c r="M7" s="1"/>
      <c r="P7" s="3"/>
      <c r="R7" s="1"/>
      <c r="S7" s="1"/>
    </row>
    <row r="8" spans="1:19" ht="14.7" x14ac:dyDescent="0.65">
      <c r="A8" s="34">
        <v>7</v>
      </c>
      <c r="B8" s="3" t="s">
        <v>63</v>
      </c>
      <c r="C8" s="1" t="s">
        <v>64</v>
      </c>
      <c r="D8" s="1">
        <v>3</v>
      </c>
      <c r="E8" t="s">
        <v>65</v>
      </c>
      <c r="F8" s="3">
        <v>1</v>
      </c>
      <c r="G8" s="33">
        <v>32874</v>
      </c>
      <c r="H8" s="33">
        <v>32874</v>
      </c>
      <c r="I8" s="1"/>
      <c r="J8" s="1"/>
      <c r="K8" s="1"/>
      <c r="L8" s="1"/>
      <c r="M8" s="1"/>
      <c r="P8" s="3"/>
      <c r="R8" s="1"/>
      <c r="S8" s="1"/>
    </row>
    <row r="9" spans="1:19" ht="14.7" x14ac:dyDescent="0.65">
      <c r="A9" s="34">
        <v>8</v>
      </c>
      <c r="B9" s="3" t="s">
        <v>66</v>
      </c>
      <c r="C9" s="1" t="s">
        <v>67</v>
      </c>
      <c r="D9" s="1">
        <v>3</v>
      </c>
      <c r="E9" t="s">
        <v>68</v>
      </c>
      <c r="F9" s="3">
        <v>1</v>
      </c>
      <c r="G9" s="33">
        <v>32874</v>
      </c>
      <c r="H9" s="33">
        <v>32874</v>
      </c>
      <c r="I9" s="1"/>
      <c r="J9" s="1"/>
      <c r="K9" s="1"/>
      <c r="L9" s="1"/>
      <c r="M9" s="1"/>
      <c r="P9" s="3"/>
      <c r="R9" s="1"/>
      <c r="S9" s="1"/>
    </row>
    <row r="10" spans="1:19" ht="14.7" x14ac:dyDescent="0.65">
      <c r="A10" s="34">
        <v>9</v>
      </c>
      <c r="B10" s="3" t="s">
        <v>69</v>
      </c>
      <c r="C10" s="1" t="s">
        <v>70</v>
      </c>
      <c r="D10" s="1">
        <v>4</v>
      </c>
      <c r="E10" t="s">
        <v>71</v>
      </c>
      <c r="F10" s="3">
        <v>1</v>
      </c>
      <c r="G10" s="33">
        <v>32874</v>
      </c>
      <c r="H10" s="33">
        <v>32874</v>
      </c>
      <c r="I10" s="1"/>
      <c r="J10" s="1"/>
      <c r="K10" s="1"/>
      <c r="L10" s="1"/>
      <c r="M10" s="1"/>
      <c r="P10" s="3"/>
      <c r="R10" s="1"/>
      <c r="S10" s="1"/>
    </row>
    <row r="11" spans="1:19" ht="14.7" x14ac:dyDescent="0.65">
      <c r="A11" s="34">
        <v>10</v>
      </c>
      <c r="B11" s="3" t="s">
        <v>73</v>
      </c>
      <c r="C11" s="1" t="s">
        <v>74</v>
      </c>
      <c r="D11" s="1">
        <v>5</v>
      </c>
      <c r="E11" t="s">
        <v>75</v>
      </c>
      <c r="F11" s="3">
        <v>1</v>
      </c>
      <c r="G11" s="33">
        <v>32874</v>
      </c>
      <c r="H11" s="33">
        <v>32874</v>
      </c>
      <c r="I11" s="1"/>
      <c r="J11" s="1"/>
      <c r="K11" s="1"/>
      <c r="L11" s="1"/>
      <c r="M11" s="1"/>
      <c r="P11" s="3"/>
      <c r="R11" s="1"/>
      <c r="S11" s="1"/>
    </row>
    <row r="12" spans="1:19" ht="14.7" x14ac:dyDescent="0.65">
      <c r="A12" s="34">
        <v>11</v>
      </c>
      <c r="B12" s="3" t="s">
        <v>78</v>
      </c>
      <c r="C12" s="1" t="s">
        <v>79</v>
      </c>
      <c r="D12" s="1">
        <v>5</v>
      </c>
      <c r="E12" t="s">
        <v>80</v>
      </c>
      <c r="F12" s="3">
        <v>1</v>
      </c>
      <c r="G12" s="33">
        <v>32874</v>
      </c>
      <c r="H12" s="33">
        <v>32874</v>
      </c>
      <c r="I12" s="1"/>
      <c r="J12" s="1"/>
      <c r="K12" s="1"/>
      <c r="L12" s="1"/>
      <c r="M12" s="1"/>
      <c r="P12" s="3"/>
      <c r="R12" s="1"/>
      <c r="S12" s="1"/>
    </row>
    <row r="13" spans="1:19" ht="14.7" x14ac:dyDescent="0.65">
      <c r="A13" s="34">
        <v>12</v>
      </c>
      <c r="B13" s="3" t="s">
        <v>81</v>
      </c>
      <c r="C13" s="1" t="s">
        <v>82</v>
      </c>
      <c r="D13" s="1">
        <v>5</v>
      </c>
      <c r="E13" t="s">
        <v>83</v>
      </c>
      <c r="F13" s="3">
        <v>1</v>
      </c>
      <c r="G13" s="33">
        <v>32874</v>
      </c>
      <c r="H13" s="33">
        <v>32874</v>
      </c>
      <c r="I13" s="1"/>
      <c r="J13" s="1"/>
      <c r="K13" s="1"/>
      <c r="L13" s="1"/>
      <c r="M13" s="1"/>
      <c r="P13" s="3"/>
      <c r="R13" s="1"/>
      <c r="S13" s="1"/>
    </row>
    <row r="14" spans="1:19" ht="14.7" x14ac:dyDescent="0.65">
      <c r="A14" s="34">
        <v>13</v>
      </c>
      <c r="B14" s="3" t="s">
        <v>84</v>
      </c>
      <c r="C14" s="1" t="s">
        <v>85</v>
      </c>
      <c r="D14" s="1">
        <v>5</v>
      </c>
      <c r="E14" t="s">
        <v>86</v>
      </c>
      <c r="F14" s="3">
        <v>1</v>
      </c>
      <c r="G14" s="33">
        <v>32874</v>
      </c>
      <c r="H14" s="33">
        <v>32874</v>
      </c>
      <c r="I14" s="1"/>
      <c r="J14" s="1"/>
      <c r="K14" s="1"/>
      <c r="L14" s="1"/>
      <c r="M14" s="1"/>
      <c r="P14" s="3"/>
      <c r="R14" s="1"/>
      <c r="S14" s="1"/>
    </row>
    <row r="15" spans="1:19" ht="14.7" x14ac:dyDescent="0.65">
      <c r="A15" s="34">
        <v>14</v>
      </c>
      <c r="B15" s="3" t="s">
        <v>87</v>
      </c>
      <c r="C15" s="1" t="s">
        <v>88</v>
      </c>
      <c r="D15" s="1">
        <v>6</v>
      </c>
      <c r="E15" t="s">
        <v>89</v>
      </c>
      <c r="F15" s="3">
        <v>1</v>
      </c>
      <c r="G15" s="33">
        <v>32874</v>
      </c>
      <c r="H15" s="33">
        <v>32874</v>
      </c>
      <c r="I15" s="1"/>
      <c r="J15" s="1"/>
      <c r="K15" s="1"/>
      <c r="L15" s="1"/>
      <c r="M15" s="1"/>
      <c r="P15" s="3"/>
      <c r="R15" s="1"/>
      <c r="S15" s="1"/>
    </row>
    <row r="16" spans="1:19" ht="14.7" x14ac:dyDescent="0.65">
      <c r="A16" s="34">
        <v>15</v>
      </c>
      <c r="B16" s="3" t="s">
        <v>91</v>
      </c>
      <c r="C16" s="1" t="s">
        <v>92</v>
      </c>
      <c r="D16" s="1">
        <v>6</v>
      </c>
      <c r="E16" t="s">
        <v>93</v>
      </c>
      <c r="F16" s="3">
        <v>1</v>
      </c>
      <c r="G16" s="33">
        <v>32874</v>
      </c>
      <c r="H16" s="33">
        <v>32874</v>
      </c>
      <c r="I16" s="1"/>
      <c r="J16" s="1"/>
      <c r="K16" s="1"/>
      <c r="L16" s="1"/>
      <c r="M16" s="1"/>
      <c r="P16" s="3"/>
      <c r="R16" s="1"/>
      <c r="S16" s="1"/>
    </row>
    <row r="17" spans="1:19" ht="14.7" x14ac:dyDescent="0.65">
      <c r="A17" s="34">
        <v>16</v>
      </c>
      <c r="B17" s="3" t="s">
        <v>94</v>
      </c>
      <c r="C17" s="1" t="s">
        <v>95</v>
      </c>
      <c r="D17" s="1">
        <v>6</v>
      </c>
      <c r="E17" t="s">
        <v>96</v>
      </c>
      <c r="F17" s="3">
        <v>1</v>
      </c>
      <c r="G17" s="33">
        <v>32874</v>
      </c>
      <c r="H17" s="33">
        <v>32874</v>
      </c>
      <c r="I17" s="1"/>
      <c r="J17" s="1"/>
      <c r="K17" s="1"/>
      <c r="L17" s="1"/>
      <c r="M17" s="1"/>
      <c r="P17" s="3"/>
      <c r="R17" s="1"/>
      <c r="S17" s="1"/>
    </row>
    <row r="18" spans="1:19" ht="14.7" x14ac:dyDescent="0.65">
      <c r="A18" s="34">
        <v>17</v>
      </c>
      <c r="B18" s="3" t="s">
        <v>97</v>
      </c>
      <c r="C18" s="1" t="s">
        <v>98</v>
      </c>
      <c r="D18" s="1">
        <v>6</v>
      </c>
      <c r="E18" t="s">
        <v>99</v>
      </c>
      <c r="F18" s="3">
        <v>1</v>
      </c>
      <c r="G18" s="33">
        <v>32874</v>
      </c>
      <c r="H18" s="33">
        <v>32874</v>
      </c>
      <c r="I18" s="1"/>
      <c r="J18" s="1"/>
      <c r="K18" s="1"/>
      <c r="L18" s="1"/>
      <c r="M18" s="1"/>
      <c r="P18" s="3"/>
      <c r="R18" s="1"/>
      <c r="S18" s="1"/>
    </row>
    <row r="19" spans="1:19" ht="14.7" x14ac:dyDescent="0.65">
      <c r="A19" s="34">
        <v>18</v>
      </c>
      <c r="B19" s="3" t="s">
        <v>100</v>
      </c>
      <c r="C19" s="1" t="s">
        <v>101</v>
      </c>
      <c r="D19" s="1">
        <v>6</v>
      </c>
      <c r="E19" t="s">
        <v>102</v>
      </c>
      <c r="F19" s="3">
        <v>1</v>
      </c>
      <c r="G19" s="33">
        <v>32874</v>
      </c>
      <c r="H19" s="33">
        <v>32874</v>
      </c>
      <c r="I19" s="1"/>
      <c r="J19" s="1"/>
      <c r="K19" s="1"/>
      <c r="L19" s="1"/>
      <c r="M19" s="1"/>
      <c r="P19" s="3"/>
      <c r="R19" s="1"/>
      <c r="S19" s="1"/>
    </row>
    <row r="20" spans="1:19" ht="14.7" x14ac:dyDescent="0.65">
      <c r="A20" s="34">
        <v>19</v>
      </c>
      <c r="B20" s="3" t="s">
        <v>103</v>
      </c>
      <c r="C20" s="1" t="s">
        <v>104</v>
      </c>
      <c r="D20" s="1">
        <v>6</v>
      </c>
      <c r="E20" t="s">
        <v>105</v>
      </c>
      <c r="F20" s="3">
        <v>1</v>
      </c>
      <c r="G20" s="33">
        <v>32874</v>
      </c>
      <c r="H20" s="33">
        <v>32874</v>
      </c>
      <c r="I20" s="1"/>
      <c r="J20" s="1"/>
      <c r="K20" s="1"/>
      <c r="L20" s="1"/>
      <c r="M20" s="1"/>
      <c r="P20" s="3"/>
      <c r="R20" s="1"/>
      <c r="S20" s="1"/>
    </row>
    <row r="21" spans="1:19" ht="14.7" x14ac:dyDescent="0.65">
      <c r="A21" s="34">
        <v>20</v>
      </c>
      <c r="B21" s="3" t="s">
        <v>106</v>
      </c>
      <c r="C21" s="1" t="s">
        <v>107</v>
      </c>
      <c r="D21" s="1">
        <v>6</v>
      </c>
      <c r="E21" t="s">
        <v>108</v>
      </c>
      <c r="F21" s="3">
        <v>1</v>
      </c>
      <c r="G21" s="33">
        <v>32874</v>
      </c>
      <c r="H21" s="33">
        <v>32874</v>
      </c>
      <c r="I21" s="1"/>
      <c r="J21" s="1"/>
      <c r="K21" s="1"/>
      <c r="L21" s="1"/>
      <c r="M21" s="1"/>
      <c r="P21" s="3"/>
      <c r="R21" s="1"/>
      <c r="S21" s="1"/>
    </row>
    <row r="22" spans="1:19" ht="14.7" x14ac:dyDescent="0.65">
      <c r="A22" s="34">
        <v>21</v>
      </c>
      <c r="B22" s="3" t="s">
        <v>109</v>
      </c>
      <c r="C22" s="1" t="s">
        <v>110</v>
      </c>
      <c r="D22" s="1">
        <v>7</v>
      </c>
      <c r="E22" t="s">
        <v>111</v>
      </c>
      <c r="F22" s="3">
        <v>1</v>
      </c>
      <c r="G22" s="33">
        <v>32874</v>
      </c>
      <c r="H22" s="33">
        <v>32874</v>
      </c>
      <c r="I22" s="1"/>
      <c r="J22" s="1"/>
      <c r="K22" s="1"/>
      <c r="L22" s="1"/>
      <c r="M22" s="1"/>
      <c r="P22" s="3"/>
      <c r="R22" s="1"/>
      <c r="S22" s="1"/>
    </row>
    <row r="23" spans="1:19" ht="14.7" x14ac:dyDescent="0.65">
      <c r="A23" s="34">
        <v>22</v>
      </c>
      <c r="B23" s="3" t="s">
        <v>113</v>
      </c>
      <c r="C23" s="1" t="s">
        <v>114</v>
      </c>
      <c r="D23" s="1">
        <v>7</v>
      </c>
      <c r="E23" t="s">
        <v>115</v>
      </c>
      <c r="F23" s="3">
        <v>1</v>
      </c>
      <c r="G23" s="33">
        <v>32874</v>
      </c>
      <c r="H23" s="33">
        <v>32874</v>
      </c>
      <c r="I23" s="1"/>
      <c r="J23" s="1"/>
      <c r="K23" s="1"/>
      <c r="L23" s="1"/>
      <c r="M23" s="1"/>
      <c r="P23" s="3"/>
      <c r="R23" s="1"/>
      <c r="S23" s="1"/>
    </row>
    <row r="24" spans="1:19" ht="14.7" x14ac:dyDescent="0.65">
      <c r="A24" s="34">
        <v>23</v>
      </c>
      <c r="B24" s="3" t="s">
        <v>116</v>
      </c>
      <c r="C24" s="1" t="s">
        <v>117</v>
      </c>
      <c r="D24" s="1">
        <v>7</v>
      </c>
      <c r="E24" t="s">
        <v>118</v>
      </c>
      <c r="F24" s="3">
        <v>1</v>
      </c>
      <c r="G24" s="33">
        <v>32874</v>
      </c>
      <c r="H24" s="33">
        <v>32874</v>
      </c>
      <c r="I24" s="1"/>
      <c r="J24" s="1"/>
      <c r="K24" s="1"/>
      <c r="L24" s="1"/>
      <c r="M24" s="1"/>
      <c r="P24" s="3"/>
      <c r="R24" s="1"/>
      <c r="S24" s="1"/>
    </row>
    <row r="25" spans="1:19" ht="14.7" x14ac:dyDescent="0.65">
      <c r="A25" s="34">
        <v>24</v>
      </c>
      <c r="B25" s="3" t="s">
        <v>119</v>
      </c>
      <c r="C25" s="1" t="s">
        <v>120</v>
      </c>
      <c r="D25" s="1">
        <v>7</v>
      </c>
      <c r="E25" t="s">
        <v>121</v>
      </c>
      <c r="F25" s="3">
        <v>1</v>
      </c>
      <c r="G25" s="33">
        <v>32874</v>
      </c>
      <c r="H25" s="33">
        <v>32874</v>
      </c>
      <c r="I25" s="1"/>
      <c r="J25" s="1"/>
      <c r="K25" s="1"/>
      <c r="L25" s="1"/>
      <c r="M25" s="1"/>
      <c r="P25" s="3"/>
      <c r="R25" s="1"/>
      <c r="S25" s="1"/>
    </row>
    <row r="26" spans="1:19" ht="14.7" x14ac:dyDescent="0.65">
      <c r="A26" s="34">
        <v>25</v>
      </c>
      <c r="B26" s="3" t="s">
        <v>122</v>
      </c>
      <c r="C26" s="1" t="s">
        <v>123</v>
      </c>
      <c r="D26" s="1">
        <v>7</v>
      </c>
      <c r="E26" t="s">
        <v>124</v>
      </c>
      <c r="F26" s="3">
        <v>1</v>
      </c>
      <c r="G26" s="33">
        <v>32874</v>
      </c>
      <c r="H26" s="33">
        <v>32874</v>
      </c>
      <c r="I26" s="1"/>
      <c r="J26" s="1"/>
      <c r="K26" s="1"/>
      <c r="L26" s="1"/>
      <c r="M26" s="1"/>
      <c r="P26" s="3"/>
      <c r="R26" s="1"/>
      <c r="S26" s="1"/>
    </row>
    <row r="27" spans="1:19" ht="14.7" x14ac:dyDescent="0.65">
      <c r="A27" s="34">
        <v>26</v>
      </c>
      <c r="B27" s="3" t="s">
        <v>125</v>
      </c>
      <c r="C27" s="1" t="s">
        <v>126</v>
      </c>
      <c r="D27" s="1">
        <v>7</v>
      </c>
      <c r="E27" t="s">
        <v>127</v>
      </c>
      <c r="F27" s="3">
        <v>1</v>
      </c>
      <c r="G27" s="33">
        <v>32874</v>
      </c>
      <c r="H27" s="33">
        <v>32874</v>
      </c>
      <c r="I27" s="1"/>
      <c r="J27" s="1"/>
      <c r="K27" s="1"/>
      <c r="L27" s="1"/>
      <c r="M27" s="1"/>
      <c r="P27" s="3"/>
      <c r="R27" s="1"/>
      <c r="S27" s="1"/>
    </row>
    <row r="28" spans="1:19" ht="14.7" x14ac:dyDescent="0.65">
      <c r="A28" s="34">
        <v>27</v>
      </c>
      <c r="B28" s="3" t="s">
        <v>128</v>
      </c>
      <c r="C28" s="1" t="s">
        <v>129</v>
      </c>
      <c r="D28" s="1">
        <v>7</v>
      </c>
      <c r="E28" t="s">
        <v>130</v>
      </c>
      <c r="F28" s="3">
        <v>1</v>
      </c>
      <c r="G28" s="33">
        <v>32874</v>
      </c>
      <c r="H28" s="33">
        <v>32874</v>
      </c>
      <c r="I28" s="1"/>
      <c r="J28" s="1"/>
      <c r="K28" s="1"/>
      <c r="L28" s="1"/>
      <c r="M28" s="1"/>
      <c r="P28" s="3"/>
      <c r="R28" s="1"/>
      <c r="S28" s="1"/>
    </row>
    <row r="29" spans="1:19" ht="14.7" x14ac:dyDescent="0.65">
      <c r="A29" s="34">
        <v>28</v>
      </c>
      <c r="B29" s="3" t="s">
        <v>131</v>
      </c>
      <c r="C29" s="1" t="s">
        <v>132</v>
      </c>
      <c r="D29" s="1">
        <v>7</v>
      </c>
      <c r="E29" t="s">
        <v>133</v>
      </c>
      <c r="F29" s="3">
        <v>1</v>
      </c>
      <c r="G29" s="33">
        <v>32874</v>
      </c>
      <c r="H29" s="33">
        <v>32874</v>
      </c>
      <c r="I29" s="1"/>
      <c r="J29" s="1"/>
      <c r="K29" s="1"/>
      <c r="L29" s="1"/>
      <c r="M29" s="1"/>
      <c r="P29" s="3"/>
      <c r="R29" s="1"/>
      <c r="S29" s="1"/>
    </row>
    <row r="30" spans="1:19" ht="14.7" x14ac:dyDescent="0.65">
      <c r="A30" s="34">
        <v>29</v>
      </c>
      <c r="B30" s="3" t="s">
        <v>134</v>
      </c>
      <c r="C30" s="1" t="s">
        <v>135</v>
      </c>
      <c r="D30" s="1">
        <v>7</v>
      </c>
      <c r="E30" t="s">
        <v>136</v>
      </c>
      <c r="F30" s="3">
        <v>1</v>
      </c>
      <c r="G30" s="33">
        <v>32874</v>
      </c>
      <c r="H30" s="33">
        <v>32874</v>
      </c>
      <c r="I30" s="1"/>
      <c r="J30" s="1"/>
      <c r="K30" s="1"/>
      <c r="L30" s="1"/>
      <c r="M30" s="1"/>
      <c r="P30" s="3"/>
      <c r="R30" s="1"/>
      <c r="S30" s="1"/>
    </row>
    <row r="31" spans="1:19" ht="14.7" x14ac:dyDescent="0.65">
      <c r="A31" s="34">
        <v>30</v>
      </c>
      <c r="B31" s="3" t="s">
        <v>137</v>
      </c>
      <c r="C31" s="1" t="s">
        <v>138</v>
      </c>
      <c r="D31" s="1">
        <v>7</v>
      </c>
      <c r="E31" t="s">
        <v>139</v>
      </c>
      <c r="F31" s="3">
        <v>1</v>
      </c>
      <c r="G31" s="33">
        <v>32874</v>
      </c>
      <c r="H31" s="33">
        <v>32874</v>
      </c>
      <c r="I31" s="1"/>
      <c r="J31" s="1"/>
      <c r="K31" s="1"/>
      <c r="L31" s="1"/>
      <c r="M31" s="1"/>
      <c r="P31" s="3"/>
      <c r="R31" s="1"/>
      <c r="S31" s="1"/>
    </row>
    <row r="32" spans="1:19" ht="14.7" x14ac:dyDescent="0.65">
      <c r="A32" s="34">
        <v>31</v>
      </c>
      <c r="B32" s="3" t="s">
        <v>140</v>
      </c>
      <c r="C32" s="1" t="s">
        <v>141</v>
      </c>
      <c r="D32" s="1">
        <v>7</v>
      </c>
      <c r="E32" t="s">
        <v>142</v>
      </c>
      <c r="F32" s="3">
        <v>1</v>
      </c>
      <c r="G32" s="33">
        <v>32874</v>
      </c>
      <c r="H32" s="33">
        <v>32874</v>
      </c>
      <c r="I32" s="1"/>
      <c r="J32" s="1"/>
      <c r="K32" s="1"/>
      <c r="L32" s="1"/>
      <c r="M32" s="1"/>
      <c r="P32" s="3"/>
      <c r="R32" s="1"/>
      <c r="S32" s="1"/>
    </row>
    <row r="33" spans="1:19" ht="14.7" x14ac:dyDescent="0.65">
      <c r="A33" s="34">
        <v>32</v>
      </c>
      <c r="B33" s="3" t="s">
        <v>143</v>
      </c>
      <c r="C33" s="1" t="s">
        <v>144</v>
      </c>
      <c r="D33" s="1">
        <v>8</v>
      </c>
      <c r="E33" t="s">
        <v>145</v>
      </c>
      <c r="F33" s="3">
        <v>1</v>
      </c>
      <c r="G33" s="33">
        <v>32874</v>
      </c>
      <c r="H33" s="33">
        <v>32874</v>
      </c>
      <c r="I33" s="1"/>
      <c r="J33" s="1"/>
      <c r="K33" s="1"/>
      <c r="L33" s="1"/>
      <c r="M33" s="1"/>
      <c r="P33" s="3"/>
      <c r="R33" s="1"/>
      <c r="S33" s="1"/>
    </row>
    <row r="34" spans="1:19" ht="14.7" x14ac:dyDescent="0.65">
      <c r="A34" s="34">
        <v>33</v>
      </c>
      <c r="B34" s="3" t="s">
        <v>147</v>
      </c>
      <c r="C34" s="1" t="s">
        <v>148</v>
      </c>
      <c r="D34" s="1">
        <v>8</v>
      </c>
      <c r="E34" t="s">
        <v>149</v>
      </c>
      <c r="F34" s="3">
        <v>1</v>
      </c>
      <c r="G34" s="33">
        <v>32874</v>
      </c>
      <c r="H34" s="33">
        <v>32874</v>
      </c>
      <c r="I34" s="1"/>
      <c r="J34" s="1"/>
      <c r="K34" s="1"/>
      <c r="L34" s="1"/>
      <c r="M34" s="1"/>
      <c r="P34" s="3"/>
      <c r="R34" s="1"/>
      <c r="S34" s="1"/>
    </row>
    <row r="35" spans="1:19" ht="14.7" x14ac:dyDescent="0.65">
      <c r="A35" s="34">
        <v>34</v>
      </c>
      <c r="B35" s="3" t="s">
        <v>150</v>
      </c>
      <c r="C35" s="1" t="s">
        <v>151</v>
      </c>
      <c r="D35" s="1">
        <v>8</v>
      </c>
      <c r="E35" t="s">
        <v>152</v>
      </c>
      <c r="F35" s="3">
        <v>1</v>
      </c>
      <c r="G35" s="33">
        <v>32874</v>
      </c>
      <c r="H35" s="33">
        <v>32874</v>
      </c>
      <c r="I35" s="1"/>
      <c r="J35" s="1"/>
      <c r="K35" s="1"/>
      <c r="L35" s="1"/>
      <c r="M35" s="1"/>
      <c r="P35" s="3"/>
      <c r="R35" s="1"/>
      <c r="S35" s="1"/>
    </row>
    <row r="36" spans="1:19" ht="14.7" x14ac:dyDescent="0.65">
      <c r="A36" s="34">
        <v>35</v>
      </c>
      <c r="B36" s="3" t="s">
        <v>153</v>
      </c>
      <c r="C36" s="1" t="s">
        <v>154</v>
      </c>
      <c r="D36" s="1">
        <v>9</v>
      </c>
      <c r="E36" t="s">
        <v>155</v>
      </c>
      <c r="F36" s="3">
        <v>1</v>
      </c>
      <c r="G36" s="33">
        <v>32874</v>
      </c>
      <c r="H36" s="33">
        <v>32874</v>
      </c>
      <c r="I36" s="1"/>
      <c r="J36" s="1"/>
      <c r="K36" s="1"/>
      <c r="L36" s="1"/>
      <c r="M36" s="1"/>
      <c r="P36" s="3"/>
      <c r="R36" s="1"/>
      <c r="S36" s="1"/>
    </row>
    <row r="37" spans="1:19" ht="14.7" x14ac:dyDescent="0.65">
      <c r="A37" s="34">
        <v>36</v>
      </c>
      <c r="B37" s="3" t="s">
        <v>157</v>
      </c>
      <c r="C37" s="1" t="s">
        <v>158</v>
      </c>
      <c r="D37" s="1">
        <v>9</v>
      </c>
      <c r="E37" t="s">
        <v>159</v>
      </c>
      <c r="F37" s="3">
        <v>1</v>
      </c>
      <c r="G37" s="33">
        <v>32874</v>
      </c>
      <c r="H37" s="33">
        <v>32874</v>
      </c>
      <c r="I37" s="1"/>
      <c r="J37" s="1"/>
      <c r="K37" s="1"/>
      <c r="L37" s="1"/>
      <c r="M37" s="1"/>
      <c r="P37" s="3"/>
      <c r="R37" s="1"/>
      <c r="S37" s="1"/>
    </row>
    <row r="38" spans="1:19" ht="14.7" x14ac:dyDescent="0.65">
      <c r="A38" s="34">
        <v>37</v>
      </c>
      <c r="B38" s="3" t="s">
        <v>160</v>
      </c>
      <c r="C38" s="1" t="s">
        <v>161</v>
      </c>
      <c r="D38" s="1">
        <v>9</v>
      </c>
      <c r="E38" t="s">
        <v>162</v>
      </c>
      <c r="F38" s="3">
        <v>1</v>
      </c>
      <c r="G38" s="33">
        <v>32874</v>
      </c>
      <c r="H38" s="33">
        <v>32874</v>
      </c>
      <c r="I38" s="1"/>
      <c r="J38" s="1"/>
      <c r="K38" s="1"/>
      <c r="L38" s="1"/>
      <c r="M38" s="1"/>
      <c r="P38" s="3"/>
      <c r="R38" s="1"/>
      <c r="S38" s="1"/>
    </row>
    <row r="39" spans="1:19" ht="14.7" x14ac:dyDescent="0.65">
      <c r="A39" s="34">
        <v>38</v>
      </c>
      <c r="B39" s="3" t="s">
        <v>163</v>
      </c>
      <c r="C39" s="1" t="s">
        <v>164</v>
      </c>
      <c r="D39" s="1">
        <v>9</v>
      </c>
      <c r="E39" t="s">
        <v>165</v>
      </c>
      <c r="F39" s="3">
        <v>1</v>
      </c>
      <c r="G39" s="33">
        <v>32874</v>
      </c>
      <c r="H39" s="33">
        <v>32874</v>
      </c>
      <c r="I39" s="1"/>
      <c r="J39" s="1"/>
      <c r="K39" s="1"/>
      <c r="L39" s="1"/>
      <c r="M39" s="1"/>
      <c r="P39" s="3"/>
      <c r="R39" s="1"/>
      <c r="S39" s="1"/>
    </row>
    <row r="40" spans="1:19" ht="14.7" x14ac:dyDescent="0.65">
      <c r="A40" s="34">
        <v>39</v>
      </c>
      <c r="B40" s="3" t="s">
        <v>166</v>
      </c>
      <c r="C40" s="1" t="s">
        <v>167</v>
      </c>
      <c r="D40" s="1">
        <v>10</v>
      </c>
      <c r="E40" t="s">
        <v>168</v>
      </c>
      <c r="F40" s="3">
        <v>1</v>
      </c>
      <c r="G40" s="33">
        <v>32874</v>
      </c>
      <c r="H40" s="33">
        <v>32874</v>
      </c>
      <c r="I40" s="1"/>
      <c r="J40" s="1"/>
      <c r="K40" s="1"/>
      <c r="L40" s="1"/>
      <c r="M40" s="1"/>
      <c r="P40" s="3"/>
      <c r="R40" s="1"/>
      <c r="S40" s="1"/>
    </row>
    <row r="41" spans="1:19" ht="14.7" x14ac:dyDescent="0.65">
      <c r="A41" s="34">
        <v>40</v>
      </c>
      <c r="B41" s="3" t="s">
        <v>170</v>
      </c>
      <c r="C41" s="1" t="s">
        <v>171</v>
      </c>
      <c r="D41" s="1">
        <v>10</v>
      </c>
      <c r="E41" t="s">
        <v>172</v>
      </c>
      <c r="F41" s="3">
        <v>1</v>
      </c>
      <c r="G41" s="33">
        <v>32874</v>
      </c>
      <c r="H41" s="33">
        <v>32874</v>
      </c>
      <c r="I41" s="1"/>
      <c r="J41" s="1"/>
      <c r="K41" s="1"/>
      <c r="L41" s="1"/>
      <c r="M41" s="1"/>
      <c r="P41" s="3"/>
      <c r="R41" s="1"/>
      <c r="S41" s="1"/>
    </row>
    <row r="42" spans="1:19" ht="14.7" x14ac:dyDescent="0.65">
      <c r="A42" s="34">
        <v>41</v>
      </c>
      <c r="B42" s="3" t="s">
        <v>173</v>
      </c>
      <c r="C42" s="1" t="s">
        <v>174</v>
      </c>
      <c r="D42" s="1">
        <v>11</v>
      </c>
      <c r="E42" t="s">
        <v>175</v>
      </c>
      <c r="F42" s="3">
        <v>1</v>
      </c>
      <c r="G42" s="33">
        <v>32874</v>
      </c>
      <c r="H42" s="33">
        <v>32874</v>
      </c>
      <c r="I42" s="1"/>
      <c r="J42" s="1"/>
      <c r="K42" s="1"/>
      <c r="L42" s="1"/>
      <c r="M42" s="1"/>
      <c r="P42" s="3"/>
      <c r="R42" s="1"/>
      <c r="S42" s="1"/>
    </row>
    <row r="43" spans="1:19" ht="14.7" x14ac:dyDescent="0.65">
      <c r="A43" s="34">
        <v>42</v>
      </c>
      <c r="B43" s="3" t="s">
        <v>177</v>
      </c>
      <c r="C43" s="1" t="s">
        <v>178</v>
      </c>
      <c r="D43" s="1">
        <v>11</v>
      </c>
      <c r="E43" t="s">
        <v>179</v>
      </c>
      <c r="F43" s="3">
        <v>1</v>
      </c>
      <c r="G43" s="33">
        <v>32874</v>
      </c>
      <c r="H43" s="33">
        <v>32874</v>
      </c>
      <c r="I43" s="1"/>
      <c r="J43" s="1"/>
      <c r="K43" s="1"/>
      <c r="L43" s="1"/>
      <c r="M43" s="1"/>
      <c r="P43" s="3"/>
      <c r="R43" s="1"/>
      <c r="S43" s="1"/>
    </row>
    <row r="44" spans="1:19" ht="14.7" x14ac:dyDescent="0.65">
      <c r="A44" s="34">
        <v>43</v>
      </c>
      <c r="B44" s="3" t="s">
        <v>180</v>
      </c>
      <c r="C44" s="1" t="s">
        <v>181</v>
      </c>
      <c r="D44" s="1">
        <v>12</v>
      </c>
      <c r="E44" t="s">
        <v>182</v>
      </c>
      <c r="F44" s="3">
        <v>1</v>
      </c>
      <c r="G44" s="33">
        <v>32874</v>
      </c>
      <c r="H44" s="33">
        <v>32874</v>
      </c>
      <c r="I44" s="1"/>
      <c r="J44" s="1"/>
      <c r="K44" s="1"/>
      <c r="L44" s="1"/>
      <c r="M44" s="1"/>
      <c r="P44" s="3"/>
      <c r="R44" s="1"/>
      <c r="S44" s="1"/>
    </row>
    <row r="45" spans="1:19" ht="14.7" x14ac:dyDescent="0.65">
      <c r="A45" s="34">
        <v>44</v>
      </c>
      <c r="B45" s="3" t="s">
        <v>184</v>
      </c>
      <c r="C45" s="1" t="s">
        <v>185</v>
      </c>
      <c r="D45" s="1">
        <v>13</v>
      </c>
      <c r="E45" t="s">
        <v>186</v>
      </c>
      <c r="F45" s="3">
        <v>1</v>
      </c>
      <c r="G45" s="33">
        <v>32874</v>
      </c>
      <c r="H45" s="33">
        <v>32874</v>
      </c>
      <c r="I45" s="1"/>
      <c r="J45" s="1"/>
      <c r="K45" s="1"/>
      <c r="L45" s="1"/>
      <c r="M45" s="1"/>
      <c r="P45" s="3"/>
      <c r="R45" s="1"/>
      <c r="S45" s="1"/>
    </row>
    <row r="46" spans="1:19" ht="14.7" x14ac:dyDescent="0.65">
      <c r="A46" s="34">
        <v>45</v>
      </c>
      <c r="B46" s="3" t="s">
        <v>188</v>
      </c>
      <c r="C46" s="1" t="s">
        <v>189</v>
      </c>
      <c r="D46" s="1">
        <v>13</v>
      </c>
      <c r="E46" t="s">
        <v>190</v>
      </c>
      <c r="F46" s="3">
        <v>1</v>
      </c>
      <c r="G46" s="33">
        <v>32874</v>
      </c>
      <c r="H46" s="33">
        <v>32874</v>
      </c>
      <c r="I46" s="1"/>
      <c r="J46" s="1"/>
      <c r="K46" s="1"/>
      <c r="L46" s="1"/>
      <c r="M46" s="1"/>
      <c r="P46" s="3"/>
      <c r="R46" s="1"/>
      <c r="S46" s="1"/>
    </row>
    <row r="47" spans="1:19" ht="14.7" x14ac:dyDescent="0.65">
      <c r="A47" s="34">
        <v>46</v>
      </c>
      <c r="B47" s="3" t="s">
        <v>191</v>
      </c>
      <c r="C47" s="1" t="s">
        <v>192</v>
      </c>
      <c r="D47" s="1">
        <v>13</v>
      </c>
      <c r="E47" t="s">
        <v>193</v>
      </c>
      <c r="F47" s="3">
        <v>1</v>
      </c>
      <c r="G47" s="33">
        <v>32874</v>
      </c>
      <c r="H47" s="33">
        <v>32874</v>
      </c>
      <c r="I47" s="1"/>
      <c r="J47" s="1"/>
      <c r="K47" s="1"/>
      <c r="L47" s="1"/>
      <c r="M47" s="1"/>
      <c r="P47" s="3"/>
      <c r="R47" s="1"/>
      <c r="S47" s="1"/>
    </row>
    <row r="48" spans="1:19" ht="14.7" x14ac:dyDescent="0.65">
      <c r="A48" s="34">
        <v>47</v>
      </c>
      <c r="B48" s="3" t="s">
        <v>194</v>
      </c>
      <c r="C48" s="1" t="s">
        <v>195</v>
      </c>
      <c r="D48" s="1">
        <v>13</v>
      </c>
      <c r="E48" t="s">
        <v>196</v>
      </c>
      <c r="F48" s="3">
        <v>1</v>
      </c>
      <c r="G48" s="33">
        <v>32874</v>
      </c>
      <c r="H48" s="33">
        <v>32874</v>
      </c>
      <c r="I48" s="1"/>
      <c r="J48" s="1"/>
      <c r="K48" s="1"/>
      <c r="L48" s="1"/>
      <c r="M48" s="1"/>
      <c r="P48" s="3"/>
      <c r="R48" s="1"/>
      <c r="S48" s="1"/>
    </row>
    <row r="49" spans="1:19" ht="14.7" x14ac:dyDescent="0.65">
      <c r="A49" s="34">
        <v>48</v>
      </c>
      <c r="B49" s="3" t="s">
        <v>197</v>
      </c>
      <c r="C49" s="1" t="s">
        <v>198</v>
      </c>
      <c r="D49" s="1">
        <v>13</v>
      </c>
      <c r="E49" t="s">
        <v>199</v>
      </c>
      <c r="F49" s="3">
        <v>1</v>
      </c>
      <c r="G49" s="33">
        <v>32874</v>
      </c>
      <c r="H49" s="33">
        <v>32874</v>
      </c>
      <c r="I49" s="1"/>
      <c r="J49" s="1"/>
      <c r="K49" s="1"/>
      <c r="L49" s="1"/>
      <c r="M49" s="1"/>
      <c r="P49" s="3"/>
      <c r="R49" s="1"/>
      <c r="S49" s="1"/>
    </row>
    <row r="50" spans="1:19" ht="14.7" x14ac:dyDescent="0.65">
      <c r="A50" s="34">
        <v>49</v>
      </c>
      <c r="B50" s="3" t="s">
        <v>200</v>
      </c>
      <c r="C50" s="1" t="s">
        <v>201</v>
      </c>
      <c r="D50" s="1">
        <v>14</v>
      </c>
      <c r="E50" t="s">
        <v>202</v>
      </c>
      <c r="F50" s="3">
        <v>1</v>
      </c>
      <c r="G50" s="33">
        <v>32874</v>
      </c>
      <c r="H50" s="33">
        <v>32874</v>
      </c>
      <c r="I50" s="1"/>
      <c r="J50" s="1"/>
      <c r="K50" s="1"/>
      <c r="L50" s="1"/>
      <c r="M50" s="1"/>
      <c r="P50" s="3"/>
      <c r="R50" s="1"/>
      <c r="S50" s="1"/>
    </row>
    <row r="51" spans="1:19" ht="14.7" x14ac:dyDescent="0.65">
      <c r="A51" s="34">
        <v>50</v>
      </c>
      <c r="B51" s="3" t="s">
        <v>204</v>
      </c>
      <c r="C51" s="1" t="s">
        <v>205</v>
      </c>
      <c r="D51" s="1">
        <v>14</v>
      </c>
      <c r="E51" t="s">
        <v>206</v>
      </c>
      <c r="F51" s="3">
        <v>1</v>
      </c>
      <c r="G51" s="33">
        <v>32874</v>
      </c>
      <c r="H51" s="33">
        <v>32874</v>
      </c>
      <c r="I51" s="1"/>
      <c r="J51" s="1"/>
      <c r="K51" s="1"/>
      <c r="L51" s="1"/>
      <c r="M51" s="1"/>
      <c r="P51" s="3"/>
      <c r="R51" s="1"/>
      <c r="S51" s="1"/>
    </row>
    <row r="52" spans="1:19" ht="14.7" x14ac:dyDescent="0.65">
      <c r="A52" s="34">
        <v>51</v>
      </c>
      <c r="B52" s="3" t="s">
        <v>207</v>
      </c>
      <c r="C52" s="1" t="s">
        <v>208</v>
      </c>
      <c r="D52" s="1">
        <v>14</v>
      </c>
      <c r="E52" t="s">
        <v>209</v>
      </c>
      <c r="F52" s="3">
        <v>1</v>
      </c>
      <c r="G52" s="33">
        <v>32874</v>
      </c>
      <c r="H52" s="33">
        <v>32874</v>
      </c>
      <c r="I52" s="1"/>
      <c r="J52" s="1"/>
      <c r="K52" s="1"/>
      <c r="L52" s="1"/>
      <c r="M52" s="1"/>
      <c r="P52" s="3"/>
      <c r="R52" s="1"/>
      <c r="S52" s="1"/>
    </row>
    <row r="53" spans="1:19" ht="14.7" x14ac:dyDescent="0.65">
      <c r="A53" s="34">
        <v>52</v>
      </c>
      <c r="B53" s="3" t="s">
        <v>210</v>
      </c>
      <c r="C53" s="1" t="s">
        <v>211</v>
      </c>
      <c r="D53" s="1">
        <v>14</v>
      </c>
      <c r="E53" t="s">
        <v>212</v>
      </c>
      <c r="F53" s="3">
        <v>1</v>
      </c>
      <c r="G53" s="33">
        <v>32874</v>
      </c>
      <c r="H53" s="33">
        <v>32874</v>
      </c>
      <c r="I53" s="1"/>
      <c r="J53" s="1"/>
      <c r="K53" s="1"/>
      <c r="L53" s="1"/>
      <c r="M53" s="1"/>
      <c r="P53" s="3"/>
      <c r="R53" s="1"/>
      <c r="S53" s="1"/>
    </row>
    <row r="54" spans="1:19" ht="14.7" x14ac:dyDescent="0.65">
      <c r="A54" s="34">
        <v>53</v>
      </c>
      <c r="B54" s="3" t="s">
        <v>213</v>
      </c>
      <c r="C54" s="1" t="s">
        <v>214</v>
      </c>
      <c r="D54" s="1">
        <v>14</v>
      </c>
      <c r="E54" t="s">
        <v>215</v>
      </c>
      <c r="F54" s="3">
        <v>1</v>
      </c>
      <c r="G54" s="33">
        <v>32874</v>
      </c>
      <c r="H54" s="33">
        <v>32874</v>
      </c>
      <c r="I54" s="1"/>
      <c r="J54" s="1"/>
      <c r="K54" s="1"/>
      <c r="L54" s="1"/>
      <c r="M54" s="1"/>
      <c r="P54" s="3"/>
      <c r="R54" s="1"/>
      <c r="S54" s="1"/>
    </row>
    <row r="55" spans="1:19" ht="14.7" x14ac:dyDescent="0.65">
      <c r="A55" s="34">
        <v>54</v>
      </c>
      <c r="B55" s="3" t="s">
        <v>216</v>
      </c>
      <c r="C55" s="1" t="s">
        <v>217</v>
      </c>
      <c r="D55" s="1">
        <v>14</v>
      </c>
      <c r="E55" t="s">
        <v>218</v>
      </c>
      <c r="F55" s="3">
        <v>1</v>
      </c>
      <c r="G55" s="33">
        <v>32874</v>
      </c>
      <c r="H55" s="33">
        <v>32874</v>
      </c>
      <c r="I55" s="1"/>
      <c r="J55" s="1"/>
      <c r="K55" s="1"/>
      <c r="L55" s="1"/>
      <c r="M55" s="1"/>
      <c r="P55" s="3"/>
      <c r="R55" s="1"/>
      <c r="S55" s="1"/>
    </row>
    <row r="56" spans="1:19" ht="14.7" x14ac:dyDescent="0.65">
      <c r="A56" s="34">
        <v>55</v>
      </c>
      <c r="B56" s="3" t="s">
        <v>219</v>
      </c>
      <c r="C56" s="1" t="s">
        <v>220</v>
      </c>
      <c r="D56" s="1">
        <v>14</v>
      </c>
      <c r="E56" t="s">
        <v>221</v>
      </c>
      <c r="F56" s="3">
        <v>1</v>
      </c>
      <c r="G56" s="33">
        <v>32874</v>
      </c>
      <c r="H56" s="33">
        <v>32874</v>
      </c>
      <c r="I56" s="1"/>
      <c r="J56" s="1"/>
      <c r="K56" s="1"/>
      <c r="L56" s="1"/>
      <c r="M56" s="1"/>
      <c r="P56" s="3"/>
      <c r="R56" s="1"/>
      <c r="S56" s="1"/>
    </row>
    <row r="57" spans="1:19" ht="14.7" x14ac:dyDescent="0.65">
      <c r="A57" s="34">
        <v>56</v>
      </c>
      <c r="B57" s="3" t="s">
        <v>222</v>
      </c>
      <c r="C57" s="1" t="s">
        <v>223</v>
      </c>
      <c r="D57" s="1">
        <v>14</v>
      </c>
      <c r="E57" t="s">
        <v>224</v>
      </c>
      <c r="F57" s="3">
        <v>1</v>
      </c>
      <c r="G57" s="33">
        <v>32874</v>
      </c>
      <c r="H57" s="33">
        <v>32874</v>
      </c>
      <c r="I57" s="1"/>
      <c r="J57" s="1"/>
      <c r="K57" s="1"/>
      <c r="L57" s="1"/>
      <c r="M57" s="1"/>
      <c r="P57" s="3"/>
      <c r="R57" s="1"/>
      <c r="S57" s="1"/>
    </row>
    <row r="58" spans="1:19" ht="14.7" x14ac:dyDescent="0.65">
      <c r="A58" s="34">
        <v>57</v>
      </c>
      <c r="B58" s="3" t="s">
        <v>225</v>
      </c>
      <c r="C58" s="1" t="s">
        <v>226</v>
      </c>
      <c r="D58" s="1">
        <v>14</v>
      </c>
      <c r="E58" t="s">
        <v>227</v>
      </c>
      <c r="F58" s="3">
        <v>1</v>
      </c>
      <c r="G58" s="33">
        <v>32874</v>
      </c>
      <c r="H58" s="33">
        <v>32874</v>
      </c>
      <c r="I58" s="1"/>
      <c r="J58" s="1"/>
      <c r="K58" s="1"/>
      <c r="L58" s="1"/>
      <c r="M58" s="1"/>
      <c r="P58" s="3"/>
      <c r="R58" s="1"/>
      <c r="S58" s="1"/>
    </row>
    <row r="59" spans="1:19" ht="14.7" x14ac:dyDescent="0.65">
      <c r="A59" s="34">
        <v>58</v>
      </c>
      <c r="B59" s="3" t="s">
        <v>228</v>
      </c>
      <c r="C59" s="1" t="s">
        <v>229</v>
      </c>
      <c r="D59" s="1">
        <v>14</v>
      </c>
      <c r="E59" t="s">
        <v>230</v>
      </c>
      <c r="F59" s="3">
        <v>1</v>
      </c>
      <c r="G59" s="33">
        <v>32874</v>
      </c>
      <c r="H59" s="33">
        <v>32874</v>
      </c>
      <c r="I59" s="1"/>
      <c r="J59" s="1"/>
      <c r="K59" s="1"/>
      <c r="L59" s="1"/>
      <c r="M59" s="1"/>
      <c r="P59" s="3"/>
      <c r="R59" s="1"/>
      <c r="S59" s="1"/>
    </row>
    <row r="60" spans="1:19" ht="14.7" x14ac:dyDescent="0.65">
      <c r="A60" s="34">
        <v>59</v>
      </c>
      <c r="B60" s="3" t="s">
        <v>231</v>
      </c>
      <c r="C60" s="1" t="s">
        <v>232</v>
      </c>
      <c r="D60" s="1">
        <v>14</v>
      </c>
      <c r="E60" t="s">
        <v>233</v>
      </c>
      <c r="F60" s="3">
        <v>1</v>
      </c>
      <c r="G60" s="33">
        <v>32874</v>
      </c>
      <c r="H60" s="33">
        <v>32874</v>
      </c>
      <c r="I60" s="1"/>
      <c r="J60" s="1"/>
      <c r="K60" s="1"/>
      <c r="L60" s="1"/>
      <c r="M60" s="1"/>
      <c r="P60" s="3"/>
      <c r="R60" s="1"/>
      <c r="S60" s="1"/>
    </row>
    <row r="61" spans="1:19" ht="14.7" x14ac:dyDescent="0.65">
      <c r="A61" s="34">
        <v>60</v>
      </c>
      <c r="B61" s="3" t="s">
        <v>234</v>
      </c>
      <c r="C61" s="1" t="s">
        <v>235</v>
      </c>
      <c r="D61" s="1">
        <v>14</v>
      </c>
      <c r="E61" t="s">
        <v>236</v>
      </c>
      <c r="F61" s="3">
        <v>1</v>
      </c>
      <c r="G61" s="33">
        <v>32874</v>
      </c>
      <c r="H61" s="33">
        <v>32874</v>
      </c>
      <c r="I61" s="1"/>
      <c r="J61" s="1"/>
      <c r="K61" s="1"/>
      <c r="L61" s="1"/>
      <c r="M61" s="1"/>
      <c r="P61" s="3"/>
      <c r="R61" s="1"/>
      <c r="S61" s="1"/>
    </row>
    <row r="62" spans="1:19" ht="14.7" x14ac:dyDescent="0.65">
      <c r="A62" s="34">
        <v>61</v>
      </c>
      <c r="B62" s="3" t="s">
        <v>237</v>
      </c>
      <c r="C62" s="1" t="s">
        <v>238</v>
      </c>
      <c r="D62" s="1">
        <v>14</v>
      </c>
      <c r="E62" t="s">
        <v>239</v>
      </c>
      <c r="F62" s="3">
        <v>1</v>
      </c>
      <c r="G62" s="33">
        <v>32874</v>
      </c>
      <c r="H62" s="33">
        <v>32874</v>
      </c>
      <c r="I62" s="1"/>
      <c r="J62" s="1"/>
      <c r="K62" s="1"/>
      <c r="L62" s="1"/>
      <c r="M62" s="1"/>
      <c r="P62" s="3"/>
      <c r="R62" s="1"/>
      <c r="S62" s="1"/>
    </row>
    <row r="63" spans="1:19" ht="14.7" x14ac:dyDescent="0.65">
      <c r="A63" s="34">
        <v>62</v>
      </c>
      <c r="B63" s="3" t="s">
        <v>240</v>
      </c>
      <c r="C63" s="1" t="s">
        <v>241</v>
      </c>
      <c r="D63" s="1">
        <v>14</v>
      </c>
      <c r="E63" t="s">
        <v>242</v>
      </c>
      <c r="F63" s="3">
        <v>1</v>
      </c>
      <c r="G63" s="33">
        <v>32874</v>
      </c>
      <c r="H63" s="33">
        <v>32874</v>
      </c>
      <c r="I63" s="1"/>
      <c r="J63" s="1"/>
      <c r="K63" s="1"/>
      <c r="L63" s="1"/>
      <c r="M63" s="1"/>
      <c r="P63" s="3"/>
      <c r="R63" s="1"/>
      <c r="S63" s="1"/>
    </row>
    <row r="64" spans="1:19" ht="14.7" x14ac:dyDescent="0.65">
      <c r="A64" s="34">
        <v>63</v>
      </c>
      <c r="B64" s="3" t="s">
        <v>243</v>
      </c>
      <c r="C64" s="1" t="s">
        <v>244</v>
      </c>
      <c r="D64" s="1">
        <v>14</v>
      </c>
      <c r="E64" t="s">
        <v>245</v>
      </c>
      <c r="F64" s="3">
        <v>1</v>
      </c>
      <c r="G64" s="33">
        <v>32874</v>
      </c>
      <c r="H64" s="33">
        <v>32874</v>
      </c>
      <c r="I64" s="1"/>
      <c r="J64" s="1"/>
      <c r="K64" s="1"/>
      <c r="L64" s="1"/>
      <c r="M64" s="1"/>
      <c r="P64" s="3"/>
      <c r="R64" s="1"/>
      <c r="S64" s="1"/>
    </row>
    <row r="65" spans="1:19" ht="14.7" x14ac:dyDescent="0.65">
      <c r="A65" s="34">
        <v>64</v>
      </c>
      <c r="B65" s="3" t="s">
        <v>246</v>
      </c>
      <c r="C65" s="1" t="s">
        <v>247</v>
      </c>
      <c r="D65" s="1">
        <v>14</v>
      </c>
      <c r="E65" t="s">
        <v>248</v>
      </c>
      <c r="F65" s="3">
        <v>1</v>
      </c>
      <c r="G65" s="33">
        <v>32874</v>
      </c>
      <c r="H65" s="33">
        <v>32874</v>
      </c>
      <c r="I65" s="1"/>
      <c r="J65" s="1"/>
      <c r="K65" s="1"/>
      <c r="L65" s="1"/>
      <c r="M65" s="1"/>
      <c r="P65" s="3"/>
      <c r="R65" s="1"/>
      <c r="S65" s="1"/>
    </row>
    <row r="66" spans="1:19" ht="14.7" x14ac:dyDescent="0.65">
      <c r="A66" s="34">
        <v>65</v>
      </c>
      <c r="B66" s="3" t="s">
        <v>249</v>
      </c>
      <c r="C66" s="1" t="s">
        <v>250</v>
      </c>
      <c r="D66" s="1">
        <v>14</v>
      </c>
      <c r="E66" t="s">
        <v>251</v>
      </c>
      <c r="F66" s="3">
        <v>1</v>
      </c>
      <c r="G66" s="33">
        <v>32874</v>
      </c>
      <c r="H66" s="33">
        <v>32874</v>
      </c>
      <c r="I66" s="1"/>
      <c r="J66" s="1"/>
      <c r="K66" s="1"/>
      <c r="L66" s="1"/>
      <c r="M66" s="1"/>
      <c r="P66" s="3"/>
      <c r="R66" s="1"/>
      <c r="S66" s="1"/>
    </row>
    <row r="67" spans="1:19" ht="14.7" x14ac:dyDescent="0.65">
      <c r="A67" s="34">
        <v>66</v>
      </c>
      <c r="B67" s="3" t="s">
        <v>252</v>
      </c>
      <c r="C67" s="1" t="s">
        <v>253</v>
      </c>
      <c r="D67" s="1">
        <v>14</v>
      </c>
      <c r="E67" t="s">
        <v>254</v>
      </c>
      <c r="F67" s="3">
        <v>1</v>
      </c>
      <c r="G67" s="33">
        <v>32874</v>
      </c>
      <c r="H67" s="33">
        <v>32874</v>
      </c>
      <c r="I67" s="1"/>
      <c r="J67" s="1"/>
      <c r="K67" s="1"/>
      <c r="L67" s="1"/>
      <c r="M67" s="1"/>
      <c r="P67" s="3"/>
      <c r="R67" s="1"/>
      <c r="S67" s="1"/>
    </row>
    <row r="68" spans="1:19" ht="14.7" x14ac:dyDescent="0.65">
      <c r="A68" s="34">
        <v>67</v>
      </c>
      <c r="B68" s="3" t="s">
        <v>255</v>
      </c>
      <c r="C68" s="1" t="s">
        <v>256</v>
      </c>
      <c r="D68" s="1">
        <v>14</v>
      </c>
      <c r="E68" t="s">
        <v>257</v>
      </c>
      <c r="F68" s="3">
        <v>1</v>
      </c>
      <c r="G68" s="33">
        <v>32874</v>
      </c>
      <c r="H68" s="33">
        <v>32874</v>
      </c>
      <c r="I68" s="1"/>
      <c r="J68" s="1"/>
      <c r="K68" s="1"/>
      <c r="L68" s="1"/>
      <c r="M68" s="1"/>
      <c r="P68" s="3"/>
      <c r="R68" s="1"/>
      <c r="S68" s="1"/>
    </row>
    <row r="69" spans="1:19" ht="14.7" x14ac:dyDescent="0.65">
      <c r="A69" s="34">
        <v>68</v>
      </c>
      <c r="B69" s="3" t="s">
        <v>258</v>
      </c>
      <c r="C69" s="1" t="s">
        <v>259</v>
      </c>
      <c r="D69" s="1">
        <v>14</v>
      </c>
      <c r="E69" t="s">
        <v>260</v>
      </c>
      <c r="F69" s="3">
        <v>1</v>
      </c>
      <c r="G69" s="33">
        <v>32874</v>
      </c>
      <c r="H69" s="33">
        <v>32874</v>
      </c>
      <c r="I69" s="1"/>
      <c r="J69" s="1"/>
      <c r="K69" s="1"/>
      <c r="L69" s="1"/>
      <c r="M69" s="1"/>
      <c r="P69" s="3"/>
      <c r="R69" s="1"/>
      <c r="S69" s="1"/>
    </row>
    <row r="70" spans="1:19" ht="14.7" x14ac:dyDescent="0.65">
      <c r="A70" s="34">
        <v>69</v>
      </c>
      <c r="B70" s="3" t="s">
        <v>261</v>
      </c>
      <c r="C70" s="1" t="s">
        <v>262</v>
      </c>
      <c r="D70" s="1">
        <v>14</v>
      </c>
      <c r="E70" t="s">
        <v>263</v>
      </c>
      <c r="F70" s="3">
        <v>1</v>
      </c>
      <c r="G70" s="33">
        <v>32874</v>
      </c>
      <c r="H70" s="33">
        <v>32874</v>
      </c>
      <c r="I70" s="1"/>
      <c r="J70" s="1"/>
      <c r="K70" s="1"/>
      <c r="L70" s="1"/>
      <c r="M70" s="1"/>
      <c r="P70" s="3"/>
      <c r="R70" s="1"/>
      <c r="S70" s="1"/>
    </row>
    <row r="71" spans="1:19" ht="14.7" x14ac:dyDescent="0.65">
      <c r="A71" s="34">
        <v>70</v>
      </c>
      <c r="B71" s="3" t="s">
        <v>264</v>
      </c>
      <c r="C71" s="1" t="s">
        <v>265</v>
      </c>
      <c r="D71" s="1">
        <v>14</v>
      </c>
      <c r="E71" t="s">
        <v>266</v>
      </c>
      <c r="F71" s="3">
        <v>1</v>
      </c>
      <c r="G71" s="33">
        <v>32874</v>
      </c>
      <c r="H71" s="33">
        <v>32874</v>
      </c>
      <c r="I71" s="1"/>
      <c r="J71" s="1"/>
      <c r="K71" s="1"/>
      <c r="L71" s="1"/>
      <c r="M71" s="1"/>
      <c r="P71" s="3"/>
      <c r="R71" s="1"/>
      <c r="S71" s="1"/>
    </row>
    <row r="72" spans="1:19" ht="14.7" x14ac:dyDescent="0.65">
      <c r="A72" s="34">
        <v>71</v>
      </c>
      <c r="B72" s="3" t="s">
        <v>267</v>
      </c>
      <c r="C72" s="1" t="s">
        <v>268</v>
      </c>
      <c r="D72" s="1">
        <v>14</v>
      </c>
      <c r="E72" t="s">
        <v>269</v>
      </c>
      <c r="F72" s="3">
        <v>1</v>
      </c>
      <c r="G72" s="33">
        <v>32874</v>
      </c>
      <c r="H72" s="33">
        <v>32874</v>
      </c>
      <c r="I72" s="1"/>
      <c r="J72" s="1"/>
      <c r="K72" s="1"/>
      <c r="L72" s="1"/>
      <c r="M72" s="1"/>
      <c r="P72" s="3"/>
      <c r="R72" s="1"/>
      <c r="S72" s="1"/>
    </row>
    <row r="73" spans="1:19" ht="14.7" x14ac:dyDescent="0.65">
      <c r="A73" s="34">
        <v>72</v>
      </c>
      <c r="B73" s="3" t="s">
        <v>270</v>
      </c>
      <c r="C73" s="1" t="s">
        <v>271</v>
      </c>
      <c r="D73" s="1">
        <v>14</v>
      </c>
      <c r="E73" t="s">
        <v>272</v>
      </c>
      <c r="F73" s="3">
        <v>1</v>
      </c>
      <c r="G73" s="33">
        <v>32874</v>
      </c>
      <c r="H73" s="33">
        <v>32874</v>
      </c>
      <c r="I73" s="1"/>
      <c r="J73" s="1"/>
      <c r="K73" s="1"/>
      <c r="L73" s="1"/>
      <c r="M73" s="1"/>
      <c r="P73" s="3"/>
      <c r="R73" s="1"/>
      <c r="S73" s="1"/>
    </row>
    <row r="74" spans="1:19" ht="14.7" x14ac:dyDescent="0.65">
      <c r="A74" s="34">
        <v>73</v>
      </c>
      <c r="B74" s="3" t="s">
        <v>273</v>
      </c>
      <c r="C74" s="1" t="s">
        <v>274</v>
      </c>
      <c r="D74" s="1">
        <v>14</v>
      </c>
      <c r="E74" t="s">
        <v>275</v>
      </c>
      <c r="F74" s="3">
        <v>1</v>
      </c>
      <c r="G74" s="33">
        <v>32874</v>
      </c>
      <c r="H74" s="33">
        <v>32874</v>
      </c>
      <c r="I74" s="1"/>
      <c r="J74" s="1"/>
      <c r="K74" s="1"/>
      <c r="L74" s="1"/>
      <c r="M74" s="1"/>
      <c r="P74" s="3"/>
      <c r="R74" s="1"/>
      <c r="S74" s="1"/>
    </row>
    <row r="75" spans="1:19" ht="14.7" x14ac:dyDescent="0.65">
      <c r="A75" s="34">
        <v>74</v>
      </c>
      <c r="B75" s="3" t="s">
        <v>276</v>
      </c>
      <c r="C75" s="1" t="s">
        <v>277</v>
      </c>
      <c r="D75" s="1">
        <v>14</v>
      </c>
      <c r="E75" t="s">
        <v>278</v>
      </c>
      <c r="F75" s="3">
        <v>1</v>
      </c>
      <c r="G75" s="33">
        <v>32874</v>
      </c>
      <c r="H75" s="33">
        <v>32874</v>
      </c>
      <c r="I75" s="1"/>
      <c r="J75" s="1"/>
      <c r="K75" s="1"/>
      <c r="L75" s="1"/>
      <c r="M75" s="1"/>
      <c r="P75" s="3"/>
      <c r="R75" s="1"/>
      <c r="S75" s="1"/>
    </row>
    <row r="76" spans="1:19" ht="14.7" x14ac:dyDescent="0.65">
      <c r="A76" s="34">
        <v>75</v>
      </c>
      <c r="B76" s="3" t="s">
        <v>279</v>
      </c>
      <c r="C76" s="1" t="s">
        <v>280</v>
      </c>
      <c r="D76" s="1">
        <v>14</v>
      </c>
      <c r="E76" t="s">
        <v>281</v>
      </c>
      <c r="F76" s="3">
        <v>1</v>
      </c>
      <c r="G76" s="33">
        <v>32874</v>
      </c>
      <c r="H76" s="33">
        <v>32874</v>
      </c>
      <c r="I76" s="1"/>
      <c r="J76" s="1"/>
      <c r="K76" s="1"/>
      <c r="L76" s="1"/>
      <c r="M76" s="1"/>
      <c r="P76" s="3"/>
      <c r="R76" s="1"/>
      <c r="S76" s="1"/>
    </row>
    <row r="77" spans="1:19" ht="14.7" x14ac:dyDescent="0.65">
      <c r="A77" s="34">
        <v>76</v>
      </c>
      <c r="B77" s="3" t="s">
        <v>282</v>
      </c>
      <c r="C77" s="1" t="s">
        <v>283</v>
      </c>
      <c r="D77" s="1">
        <v>14</v>
      </c>
      <c r="E77" t="s">
        <v>284</v>
      </c>
      <c r="F77" s="3">
        <v>1</v>
      </c>
      <c r="G77" s="33">
        <v>32874</v>
      </c>
      <c r="H77" s="33">
        <v>32874</v>
      </c>
      <c r="I77" s="1"/>
      <c r="J77" s="1"/>
      <c r="K77" s="1"/>
      <c r="L77" s="1"/>
      <c r="M77" s="1"/>
      <c r="P77" s="3"/>
      <c r="R77" s="1"/>
      <c r="S77" s="1"/>
    </row>
    <row r="78" spans="1:19" ht="14.7" x14ac:dyDescent="0.65">
      <c r="A78" s="34">
        <v>77</v>
      </c>
      <c r="B78" s="3" t="s">
        <v>285</v>
      </c>
      <c r="C78" s="1" t="s">
        <v>286</v>
      </c>
      <c r="D78" s="1">
        <v>14</v>
      </c>
      <c r="E78" t="s">
        <v>287</v>
      </c>
      <c r="F78" s="3">
        <v>1</v>
      </c>
      <c r="G78" s="33">
        <v>32874</v>
      </c>
      <c r="H78" s="33">
        <v>32874</v>
      </c>
      <c r="I78" s="1"/>
      <c r="J78" s="1"/>
      <c r="K78" s="1"/>
      <c r="L78" s="1"/>
      <c r="M78" s="1"/>
      <c r="P78" s="3"/>
      <c r="R78" s="1"/>
      <c r="S78" s="1"/>
    </row>
    <row r="79" spans="1:19" ht="14.7" x14ac:dyDescent="0.65">
      <c r="A79" s="34">
        <v>78</v>
      </c>
      <c r="B79" s="3" t="s">
        <v>288</v>
      </c>
      <c r="C79" s="1" t="s">
        <v>289</v>
      </c>
      <c r="D79" s="1">
        <v>14</v>
      </c>
      <c r="E79" t="s">
        <v>290</v>
      </c>
      <c r="F79" s="3">
        <v>1</v>
      </c>
      <c r="G79" s="33">
        <v>32874</v>
      </c>
      <c r="H79" s="33">
        <v>32874</v>
      </c>
      <c r="I79" s="1"/>
      <c r="J79" s="1"/>
      <c r="K79" s="1"/>
      <c r="L79" s="1"/>
      <c r="M79" s="1"/>
      <c r="P79" s="3"/>
      <c r="R79" s="1"/>
      <c r="S79" s="1"/>
    </row>
    <row r="80" spans="1:19" ht="14.7" x14ac:dyDescent="0.65">
      <c r="A80" s="34">
        <v>79</v>
      </c>
      <c r="B80" s="3" t="s">
        <v>291</v>
      </c>
      <c r="C80" s="1" t="s">
        <v>292</v>
      </c>
      <c r="D80" s="1">
        <v>14</v>
      </c>
      <c r="E80" t="s">
        <v>293</v>
      </c>
      <c r="F80" s="3">
        <v>1</v>
      </c>
      <c r="G80" s="33">
        <v>32874</v>
      </c>
      <c r="H80" s="33">
        <v>32874</v>
      </c>
      <c r="I80" s="1"/>
      <c r="J80" s="1"/>
      <c r="K80" s="1"/>
      <c r="L80" s="1"/>
      <c r="M80" s="1"/>
      <c r="P80" s="3"/>
      <c r="R80" s="1"/>
      <c r="S80" s="1"/>
    </row>
    <row r="81" spans="1:19" ht="14.7" x14ac:dyDescent="0.65">
      <c r="A81" s="34">
        <v>80</v>
      </c>
      <c r="B81" s="3" t="s">
        <v>294</v>
      </c>
      <c r="C81" s="1" t="s">
        <v>295</v>
      </c>
      <c r="D81" s="1">
        <v>14</v>
      </c>
      <c r="E81" t="s">
        <v>296</v>
      </c>
      <c r="F81" s="3">
        <v>1</v>
      </c>
      <c r="G81" s="33">
        <v>32874</v>
      </c>
      <c r="H81" s="33">
        <v>32874</v>
      </c>
      <c r="I81" s="1"/>
      <c r="J81" s="1"/>
      <c r="K81" s="1"/>
      <c r="L81" s="1"/>
      <c r="M81" s="1"/>
      <c r="P81" s="3"/>
      <c r="R81" s="1"/>
      <c r="S81" s="1"/>
    </row>
    <row r="82" spans="1:19" ht="14.7" x14ac:dyDescent="0.65">
      <c r="A82" s="34">
        <v>81</v>
      </c>
      <c r="B82" s="3" t="s">
        <v>297</v>
      </c>
      <c r="C82" s="1" t="s">
        <v>298</v>
      </c>
      <c r="D82" s="1">
        <v>14</v>
      </c>
      <c r="E82" t="s">
        <v>299</v>
      </c>
      <c r="F82" s="3">
        <v>1</v>
      </c>
      <c r="G82" s="33">
        <v>32874</v>
      </c>
      <c r="H82" s="33">
        <v>32874</v>
      </c>
      <c r="I82" s="1"/>
      <c r="J82" s="1"/>
      <c r="K82" s="1"/>
      <c r="L82" s="1"/>
      <c r="M82" s="1"/>
      <c r="P82" s="3"/>
      <c r="R82" s="1"/>
      <c r="S82" s="1"/>
    </row>
    <row r="83" spans="1:19" ht="14.7" x14ac:dyDescent="0.65">
      <c r="A83" s="34">
        <v>82</v>
      </c>
      <c r="B83" s="3" t="s">
        <v>300</v>
      </c>
      <c r="C83" s="1" t="s">
        <v>301</v>
      </c>
      <c r="D83" s="1">
        <v>14</v>
      </c>
      <c r="E83" t="s">
        <v>302</v>
      </c>
      <c r="F83" s="3">
        <v>1</v>
      </c>
      <c r="G83" s="33">
        <v>32874</v>
      </c>
      <c r="H83" s="33">
        <v>32874</v>
      </c>
      <c r="I83" s="1"/>
      <c r="J83" s="1"/>
      <c r="K83" s="1"/>
      <c r="L83" s="1"/>
      <c r="M83" s="1"/>
      <c r="P83" s="3"/>
      <c r="R83" s="1"/>
      <c r="S83" s="1"/>
    </row>
    <row r="84" spans="1:19" ht="14.7" x14ac:dyDescent="0.65">
      <c r="A84" s="34">
        <v>83</v>
      </c>
      <c r="B84" s="3" t="s">
        <v>303</v>
      </c>
      <c r="C84" s="1" t="s">
        <v>304</v>
      </c>
      <c r="D84" s="1">
        <v>14</v>
      </c>
      <c r="E84" t="s">
        <v>305</v>
      </c>
      <c r="F84" s="3">
        <v>1</v>
      </c>
      <c r="G84" s="33">
        <v>32874</v>
      </c>
      <c r="H84" s="33">
        <v>32874</v>
      </c>
      <c r="I84" s="1"/>
      <c r="J84" s="1"/>
      <c r="K84" s="1"/>
      <c r="L84" s="1"/>
      <c r="M84" s="1"/>
      <c r="P84" s="3"/>
      <c r="R84" s="1"/>
      <c r="S84" s="1"/>
    </row>
    <row r="85" spans="1:19" ht="14.7" x14ac:dyDescent="0.65">
      <c r="A85" s="34">
        <v>84</v>
      </c>
      <c r="B85" s="3" t="s">
        <v>306</v>
      </c>
      <c r="C85" s="1" t="s">
        <v>307</v>
      </c>
      <c r="D85" s="1">
        <v>14</v>
      </c>
      <c r="E85" t="s">
        <v>308</v>
      </c>
      <c r="F85" s="3">
        <v>1</v>
      </c>
      <c r="G85" s="33">
        <v>32874</v>
      </c>
      <c r="H85" s="33">
        <v>32874</v>
      </c>
      <c r="I85" s="1"/>
      <c r="J85" s="1"/>
      <c r="K85" s="1"/>
      <c r="L85" s="1"/>
      <c r="M85" s="1"/>
      <c r="P85" s="3"/>
      <c r="R85" s="1"/>
      <c r="S85" s="1"/>
    </row>
    <row r="86" spans="1:19" ht="14.7" x14ac:dyDescent="0.65">
      <c r="A86" s="34">
        <v>85</v>
      </c>
      <c r="B86" s="3" t="s">
        <v>309</v>
      </c>
      <c r="C86" s="1" t="s">
        <v>310</v>
      </c>
      <c r="D86" s="1">
        <v>14</v>
      </c>
      <c r="E86" t="s">
        <v>311</v>
      </c>
      <c r="F86" s="3">
        <v>1</v>
      </c>
      <c r="G86" s="33">
        <v>32874</v>
      </c>
      <c r="H86" s="33">
        <v>32874</v>
      </c>
      <c r="I86" s="1"/>
      <c r="J86" s="1"/>
      <c r="K86" s="1"/>
      <c r="L86" s="1"/>
      <c r="M86" s="1"/>
      <c r="P86" s="3"/>
      <c r="R86" s="1"/>
      <c r="S86" s="1"/>
    </row>
    <row r="87" spans="1:19" ht="14.7" x14ac:dyDescent="0.65">
      <c r="A87" s="34">
        <v>86</v>
      </c>
      <c r="B87" s="3" t="s">
        <v>312</v>
      </c>
      <c r="C87" s="1" t="s">
        <v>313</v>
      </c>
      <c r="D87" s="1">
        <v>14</v>
      </c>
      <c r="E87" t="s">
        <v>314</v>
      </c>
      <c r="F87" s="3">
        <v>1</v>
      </c>
      <c r="G87" s="33">
        <v>32874</v>
      </c>
      <c r="H87" s="33">
        <v>32874</v>
      </c>
      <c r="I87" s="1"/>
      <c r="J87" s="1"/>
      <c r="K87" s="1"/>
      <c r="L87" s="1"/>
      <c r="M87" s="1"/>
      <c r="P87" s="3"/>
      <c r="R87" s="1"/>
      <c r="S87" s="1"/>
    </row>
    <row r="88" spans="1:19" ht="14.7" x14ac:dyDescent="0.65">
      <c r="A88" s="34">
        <v>87</v>
      </c>
      <c r="B88" s="3" t="s">
        <v>315</v>
      </c>
      <c r="C88" s="1" t="s">
        <v>316</v>
      </c>
      <c r="D88" s="1">
        <v>14</v>
      </c>
      <c r="E88" t="s">
        <v>317</v>
      </c>
      <c r="F88" s="3">
        <v>1</v>
      </c>
      <c r="G88" s="33">
        <v>32874</v>
      </c>
      <c r="H88" s="33">
        <v>32874</v>
      </c>
      <c r="I88" s="1"/>
      <c r="J88" s="1"/>
      <c r="K88" s="1"/>
      <c r="L88" s="1"/>
      <c r="M88" s="1"/>
      <c r="P88" s="3"/>
      <c r="R88" s="1"/>
      <c r="S88" s="1"/>
    </row>
    <row r="89" spans="1:19" ht="14.7" x14ac:dyDescent="0.65">
      <c r="A89" s="34">
        <v>88</v>
      </c>
      <c r="B89" s="3" t="s">
        <v>318</v>
      </c>
      <c r="C89" s="1" t="s">
        <v>319</v>
      </c>
      <c r="D89" s="1">
        <v>14</v>
      </c>
      <c r="E89" t="s">
        <v>320</v>
      </c>
      <c r="F89" s="3">
        <v>1</v>
      </c>
      <c r="G89" s="33">
        <v>32874</v>
      </c>
      <c r="H89" s="33">
        <v>32874</v>
      </c>
      <c r="I89" s="1"/>
      <c r="J89" s="1"/>
      <c r="K89" s="1"/>
      <c r="L89" s="1"/>
      <c r="M89" s="1"/>
      <c r="P89" s="3"/>
      <c r="R89" s="1"/>
      <c r="S89" s="1"/>
    </row>
    <row r="90" spans="1:19" ht="14.7" x14ac:dyDescent="0.65">
      <c r="A90" s="34">
        <v>89</v>
      </c>
      <c r="B90" s="3" t="s">
        <v>321</v>
      </c>
      <c r="C90" s="1" t="s">
        <v>322</v>
      </c>
      <c r="D90" s="1">
        <v>14</v>
      </c>
      <c r="E90" t="s">
        <v>323</v>
      </c>
      <c r="F90" s="3">
        <v>1</v>
      </c>
      <c r="G90" s="33">
        <v>32874</v>
      </c>
      <c r="H90" s="33">
        <v>32874</v>
      </c>
      <c r="I90" s="1"/>
      <c r="J90" s="1"/>
      <c r="K90" s="1"/>
      <c r="L90" s="1"/>
      <c r="M90" s="1"/>
      <c r="P90" s="3"/>
      <c r="R90" s="1"/>
      <c r="S90" s="1"/>
    </row>
    <row r="91" spans="1:19" ht="14.7" x14ac:dyDescent="0.65">
      <c r="A91" s="34">
        <v>90</v>
      </c>
      <c r="B91" s="3" t="s">
        <v>324</v>
      </c>
      <c r="C91" s="1" t="s">
        <v>325</v>
      </c>
      <c r="D91" s="1">
        <v>14</v>
      </c>
      <c r="E91" t="s">
        <v>326</v>
      </c>
      <c r="F91" s="3">
        <v>1</v>
      </c>
      <c r="G91" s="33">
        <v>32874</v>
      </c>
      <c r="H91" s="33">
        <v>32874</v>
      </c>
      <c r="I91" s="1"/>
      <c r="J91" s="1"/>
      <c r="K91" s="1"/>
      <c r="L91" s="1"/>
      <c r="M91" s="1"/>
      <c r="P91" s="3"/>
      <c r="R91" s="1"/>
      <c r="S91" s="1"/>
    </row>
    <row r="92" spans="1:19" ht="14.7" x14ac:dyDescent="0.65">
      <c r="A92" s="34">
        <v>91</v>
      </c>
      <c r="B92" s="3" t="s">
        <v>327</v>
      </c>
      <c r="C92" s="1" t="s">
        <v>328</v>
      </c>
      <c r="D92" s="1">
        <v>14</v>
      </c>
      <c r="E92" t="s">
        <v>329</v>
      </c>
      <c r="F92" s="3">
        <v>1</v>
      </c>
      <c r="G92" s="33">
        <v>32874</v>
      </c>
      <c r="H92" s="33">
        <v>32874</v>
      </c>
      <c r="I92" s="1"/>
      <c r="J92" s="1"/>
      <c r="K92" s="1"/>
      <c r="L92" s="1"/>
      <c r="M92" s="1"/>
      <c r="P92" s="3"/>
      <c r="R92" s="1"/>
      <c r="S92" s="1"/>
    </row>
    <row r="93" spans="1:19" ht="14.7" x14ac:dyDescent="0.65">
      <c r="A93" s="34">
        <v>92</v>
      </c>
      <c r="B93" s="3" t="s">
        <v>330</v>
      </c>
      <c r="C93" s="1" t="s">
        <v>331</v>
      </c>
      <c r="D93" s="1">
        <v>14</v>
      </c>
      <c r="E93" t="s">
        <v>332</v>
      </c>
      <c r="F93" s="3">
        <v>1</v>
      </c>
      <c r="G93" s="33">
        <v>32874</v>
      </c>
      <c r="H93" s="33">
        <v>32874</v>
      </c>
      <c r="I93" s="1"/>
      <c r="J93" s="1"/>
      <c r="K93" s="1"/>
      <c r="L93" s="1"/>
      <c r="M93" s="1"/>
      <c r="P93" s="3"/>
      <c r="R93" s="1"/>
      <c r="S93" s="1"/>
    </row>
    <row r="94" spans="1:19" ht="14.7" x14ac:dyDescent="0.65">
      <c r="A94" s="34">
        <v>93</v>
      </c>
      <c r="B94" s="3" t="s">
        <v>333</v>
      </c>
      <c r="C94" s="1" t="s">
        <v>334</v>
      </c>
      <c r="D94" s="1">
        <v>14</v>
      </c>
      <c r="E94" t="s">
        <v>335</v>
      </c>
      <c r="F94" s="3">
        <v>1</v>
      </c>
      <c r="G94" s="33">
        <v>32874</v>
      </c>
      <c r="H94" s="33">
        <v>32874</v>
      </c>
      <c r="I94" s="1"/>
      <c r="J94" s="1"/>
      <c r="K94" s="1"/>
      <c r="L94" s="1"/>
      <c r="M94" s="1"/>
      <c r="P94" s="3"/>
      <c r="R94" s="1"/>
      <c r="S94" s="1"/>
    </row>
    <row r="95" spans="1:19" ht="14.7" x14ac:dyDescent="0.65">
      <c r="A95" s="34">
        <v>94</v>
      </c>
      <c r="B95" s="3" t="s">
        <v>336</v>
      </c>
      <c r="C95" s="1" t="s">
        <v>337</v>
      </c>
      <c r="D95" s="1">
        <v>14</v>
      </c>
      <c r="E95" t="s">
        <v>338</v>
      </c>
      <c r="F95" s="3">
        <v>1</v>
      </c>
      <c r="G95" s="33">
        <v>32874</v>
      </c>
      <c r="H95" s="33">
        <v>32874</v>
      </c>
      <c r="I95" s="1"/>
      <c r="J95" s="1"/>
      <c r="K95" s="1"/>
      <c r="L95" s="1"/>
      <c r="M95" s="1"/>
      <c r="P95" s="3"/>
      <c r="R95" s="1"/>
      <c r="S95" s="1"/>
    </row>
    <row r="96" spans="1:19" ht="14.7" x14ac:dyDescent="0.65">
      <c r="A96" s="34">
        <v>95</v>
      </c>
      <c r="B96" s="3" t="s">
        <v>339</v>
      </c>
      <c r="C96" s="1" t="s">
        <v>340</v>
      </c>
      <c r="D96" s="1">
        <v>14</v>
      </c>
      <c r="E96" t="s">
        <v>341</v>
      </c>
      <c r="F96" s="3">
        <v>1</v>
      </c>
      <c r="G96" s="33">
        <v>32874</v>
      </c>
      <c r="H96" s="33">
        <v>32874</v>
      </c>
      <c r="I96" s="1"/>
      <c r="J96" s="1"/>
      <c r="K96" s="1"/>
      <c r="L96" s="1"/>
      <c r="M96" s="1"/>
      <c r="P96" s="3"/>
      <c r="R96" s="1"/>
      <c r="S96" s="1"/>
    </row>
    <row r="97" spans="1:19" ht="14.7" x14ac:dyDescent="0.65">
      <c r="A97" s="34">
        <v>96</v>
      </c>
      <c r="B97" s="3" t="s">
        <v>342</v>
      </c>
      <c r="C97" s="1" t="s">
        <v>343</v>
      </c>
      <c r="D97" s="1">
        <v>14</v>
      </c>
      <c r="E97" t="s">
        <v>344</v>
      </c>
      <c r="F97" s="3">
        <v>1</v>
      </c>
      <c r="G97" s="33">
        <v>32874</v>
      </c>
      <c r="H97" s="33">
        <v>32874</v>
      </c>
      <c r="I97" s="1"/>
      <c r="J97" s="1"/>
      <c r="K97" s="1"/>
      <c r="L97" s="1"/>
      <c r="M97" s="1"/>
      <c r="P97" s="3"/>
      <c r="R97" s="1"/>
      <c r="S97" s="1"/>
    </row>
    <row r="98" spans="1:19" ht="14.7" x14ac:dyDescent="0.65">
      <c r="A98" s="34">
        <v>97</v>
      </c>
      <c r="B98" s="3" t="s">
        <v>345</v>
      </c>
      <c r="C98" s="1" t="s">
        <v>346</v>
      </c>
      <c r="D98" s="1">
        <v>14</v>
      </c>
      <c r="E98" t="s">
        <v>347</v>
      </c>
      <c r="F98" s="3">
        <v>1</v>
      </c>
      <c r="G98" s="33">
        <v>32874</v>
      </c>
      <c r="H98" s="33">
        <v>32874</v>
      </c>
      <c r="I98" s="1"/>
      <c r="J98" s="1"/>
      <c r="K98" s="1"/>
      <c r="L98" s="1"/>
      <c r="M98" s="1"/>
      <c r="P98" s="3"/>
      <c r="R98" s="1"/>
      <c r="S98" s="1"/>
    </row>
    <row r="99" spans="1:19" ht="14.7" x14ac:dyDescent="0.65">
      <c r="A99" s="34">
        <v>98</v>
      </c>
      <c r="B99" s="3" t="s">
        <v>348</v>
      </c>
      <c r="C99" s="1" t="s">
        <v>349</v>
      </c>
      <c r="D99" s="1">
        <v>14</v>
      </c>
      <c r="E99" t="s">
        <v>350</v>
      </c>
      <c r="F99" s="3">
        <v>1</v>
      </c>
      <c r="G99" s="33">
        <v>32874</v>
      </c>
      <c r="H99" s="33">
        <v>32874</v>
      </c>
      <c r="I99" s="1"/>
      <c r="J99" s="1"/>
      <c r="K99" s="1"/>
      <c r="L99" s="1"/>
      <c r="M99" s="1"/>
      <c r="P99" s="3"/>
      <c r="R99" s="1"/>
      <c r="S99" s="1"/>
    </row>
    <row r="100" spans="1:19" ht="14.7" x14ac:dyDescent="0.65">
      <c r="A100" s="34">
        <v>99</v>
      </c>
      <c r="B100" s="3" t="s">
        <v>351</v>
      </c>
      <c r="C100" s="1" t="s">
        <v>352</v>
      </c>
      <c r="D100" s="1">
        <v>14</v>
      </c>
      <c r="E100" t="s">
        <v>353</v>
      </c>
      <c r="F100" s="3">
        <v>1</v>
      </c>
      <c r="G100" s="33">
        <v>32874</v>
      </c>
      <c r="H100" s="33">
        <v>32874</v>
      </c>
      <c r="I100" s="1"/>
      <c r="J100" s="1"/>
      <c r="K100" s="1"/>
      <c r="L100" s="1"/>
      <c r="M100" s="1"/>
      <c r="P100" s="3"/>
      <c r="R100" s="1"/>
      <c r="S100" s="1"/>
    </row>
    <row r="101" spans="1:19" ht="14.7" x14ac:dyDescent="0.65">
      <c r="A101" s="34">
        <v>100</v>
      </c>
      <c r="B101" s="3" t="s">
        <v>354</v>
      </c>
      <c r="C101" s="1" t="s">
        <v>355</v>
      </c>
      <c r="D101" s="1">
        <v>14</v>
      </c>
      <c r="E101" t="s">
        <v>356</v>
      </c>
      <c r="F101" s="3">
        <v>1</v>
      </c>
      <c r="G101" s="33">
        <v>32874</v>
      </c>
      <c r="H101" s="33">
        <v>32874</v>
      </c>
      <c r="I101" s="1"/>
      <c r="J101" s="1"/>
      <c r="K101" s="1"/>
      <c r="L101" s="1"/>
      <c r="M101" s="1"/>
      <c r="P101" s="3"/>
      <c r="R101" s="1"/>
      <c r="S101" s="1"/>
    </row>
    <row r="102" spans="1:19" ht="14.7" x14ac:dyDescent="0.65">
      <c r="A102" s="34">
        <v>101</v>
      </c>
      <c r="B102" s="3" t="s">
        <v>357</v>
      </c>
      <c r="C102" s="1" t="s">
        <v>358</v>
      </c>
      <c r="D102" s="1">
        <v>14</v>
      </c>
      <c r="E102" t="s">
        <v>359</v>
      </c>
      <c r="F102" s="3">
        <v>1</v>
      </c>
      <c r="G102" s="33">
        <v>32874</v>
      </c>
      <c r="H102" s="33">
        <v>32874</v>
      </c>
      <c r="I102" s="1"/>
      <c r="J102" s="1"/>
      <c r="K102" s="1"/>
      <c r="L102" s="1"/>
      <c r="M102" s="1"/>
      <c r="P102" s="3"/>
      <c r="R102" s="1"/>
      <c r="S102" s="1"/>
    </row>
    <row r="103" spans="1:19" ht="14.7" x14ac:dyDescent="0.65">
      <c r="A103" s="34">
        <v>102</v>
      </c>
      <c r="B103" s="3" t="s">
        <v>360</v>
      </c>
      <c r="C103" s="1" t="s">
        <v>361</v>
      </c>
      <c r="D103" s="1">
        <v>14</v>
      </c>
      <c r="E103" t="s">
        <v>362</v>
      </c>
      <c r="F103" s="3">
        <v>1</v>
      </c>
      <c r="G103" s="33">
        <v>32874</v>
      </c>
      <c r="H103" s="33">
        <v>32874</v>
      </c>
      <c r="I103" s="1"/>
      <c r="J103" s="1"/>
      <c r="K103" s="1"/>
      <c r="L103" s="1"/>
      <c r="M103" s="1"/>
      <c r="P103" s="3"/>
      <c r="R103" s="1"/>
      <c r="S103" s="1"/>
    </row>
    <row r="104" spans="1:19" ht="14.7" x14ac:dyDescent="0.65">
      <c r="A104" s="34">
        <v>103</v>
      </c>
      <c r="B104" s="3" t="s">
        <v>363</v>
      </c>
      <c r="C104" s="1" t="s">
        <v>364</v>
      </c>
      <c r="D104" s="1">
        <v>14</v>
      </c>
      <c r="E104" t="s">
        <v>365</v>
      </c>
      <c r="F104" s="3">
        <v>1</v>
      </c>
      <c r="G104" s="33">
        <v>32874</v>
      </c>
      <c r="H104" s="33">
        <v>32874</v>
      </c>
      <c r="I104" s="1"/>
      <c r="J104" s="1"/>
      <c r="K104" s="1"/>
      <c r="L104" s="1"/>
      <c r="M104" s="1"/>
      <c r="P104" s="3"/>
      <c r="R104" s="1"/>
      <c r="S104" s="1"/>
    </row>
    <row r="105" spans="1:19" ht="14.7" x14ac:dyDescent="0.65">
      <c r="A105" s="34">
        <v>104</v>
      </c>
      <c r="B105" s="3" t="s">
        <v>366</v>
      </c>
      <c r="C105" s="1" t="s">
        <v>367</v>
      </c>
      <c r="D105" s="1">
        <v>14</v>
      </c>
      <c r="E105" t="s">
        <v>368</v>
      </c>
      <c r="F105" s="3">
        <v>1</v>
      </c>
      <c r="G105" s="33">
        <v>32874</v>
      </c>
      <c r="H105" s="33">
        <v>32874</v>
      </c>
      <c r="I105" s="1"/>
      <c r="J105" s="1"/>
      <c r="K105" s="1"/>
      <c r="L105" s="1"/>
      <c r="M105" s="1"/>
      <c r="P105" s="3"/>
      <c r="R105" s="1"/>
      <c r="S105" s="1"/>
    </row>
    <row r="106" spans="1:19" ht="14.7" x14ac:dyDescent="0.65">
      <c r="A106" s="34">
        <v>105</v>
      </c>
      <c r="B106" s="3" t="s">
        <v>369</v>
      </c>
      <c r="C106" s="1" t="s">
        <v>370</v>
      </c>
      <c r="D106" s="1">
        <v>14</v>
      </c>
      <c r="E106" t="s">
        <v>371</v>
      </c>
      <c r="F106" s="3">
        <v>1</v>
      </c>
      <c r="G106" s="33">
        <v>32874</v>
      </c>
      <c r="H106" s="33">
        <v>32874</v>
      </c>
      <c r="I106" s="1"/>
      <c r="J106" s="1"/>
      <c r="K106" s="1"/>
      <c r="L106" s="1"/>
      <c r="M106" s="1"/>
      <c r="P106" s="3"/>
      <c r="R106" s="1"/>
      <c r="S106" s="1"/>
    </row>
    <row r="107" spans="1:19" ht="14.7" x14ac:dyDescent="0.65">
      <c r="A107" s="34">
        <v>106</v>
      </c>
      <c r="B107" s="3" t="s">
        <v>372</v>
      </c>
      <c r="C107" s="1" t="s">
        <v>373</v>
      </c>
      <c r="D107" s="1">
        <v>14</v>
      </c>
      <c r="E107" t="s">
        <v>374</v>
      </c>
      <c r="F107" s="3">
        <v>1</v>
      </c>
      <c r="G107" s="33">
        <v>32874</v>
      </c>
      <c r="H107" s="33">
        <v>32874</v>
      </c>
      <c r="I107" s="1"/>
      <c r="J107" s="1"/>
      <c r="K107" s="1"/>
      <c r="L107" s="1"/>
      <c r="M107" s="1"/>
      <c r="P107" s="3"/>
      <c r="R107" s="1"/>
      <c r="S107" s="1"/>
    </row>
    <row r="108" spans="1:19" ht="14.7" x14ac:dyDescent="0.65">
      <c r="A108" s="34">
        <v>107</v>
      </c>
      <c r="B108" s="3" t="s">
        <v>375</v>
      </c>
      <c r="C108" s="1" t="s">
        <v>376</v>
      </c>
      <c r="D108" s="1">
        <v>14</v>
      </c>
      <c r="E108" t="s">
        <v>377</v>
      </c>
      <c r="F108" s="3">
        <v>1</v>
      </c>
      <c r="G108" s="33">
        <v>32874</v>
      </c>
      <c r="H108" s="33">
        <v>32874</v>
      </c>
      <c r="I108" s="1"/>
      <c r="J108" s="1"/>
      <c r="K108" s="1"/>
      <c r="L108" s="1"/>
      <c r="M108" s="1"/>
      <c r="P108" s="3"/>
      <c r="R108" s="1"/>
      <c r="S108" s="1"/>
    </row>
    <row r="109" spans="1:19" ht="14.7" x14ac:dyDescent="0.65">
      <c r="A109" s="34">
        <v>108</v>
      </c>
      <c r="B109" s="3" t="s">
        <v>378</v>
      </c>
      <c r="C109" s="1" t="s">
        <v>379</v>
      </c>
      <c r="D109" s="1">
        <v>14</v>
      </c>
      <c r="E109" t="s">
        <v>380</v>
      </c>
      <c r="F109" s="3">
        <v>1</v>
      </c>
      <c r="G109" s="33">
        <v>32874</v>
      </c>
      <c r="H109" s="33">
        <v>32874</v>
      </c>
      <c r="I109" s="1"/>
      <c r="J109" s="1"/>
      <c r="K109" s="1"/>
      <c r="L109" s="1"/>
      <c r="M109" s="1"/>
      <c r="P109" s="3"/>
      <c r="R109" s="1"/>
      <c r="S109" s="1"/>
    </row>
    <row r="110" spans="1:19" ht="14.7" x14ac:dyDescent="0.65">
      <c r="A110" s="34">
        <v>109</v>
      </c>
      <c r="B110" s="3" t="s">
        <v>381</v>
      </c>
      <c r="C110" s="1" t="s">
        <v>382</v>
      </c>
      <c r="D110" s="1">
        <v>14</v>
      </c>
      <c r="E110" t="s">
        <v>383</v>
      </c>
      <c r="F110" s="3">
        <v>1</v>
      </c>
      <c r="G110" s="33">
        <v>32874</v>
      </c>
      <c r="H110" s="33">
        <v>32874</v>
      </c>
      <c r="I110" s="1"/>
      <c r="J110" s="1"/>
      <c r="K110" s="1"/>
      <c r="L110" s="1"/>
      <c r="M110" s="1"/>
      <c r="P110" s="3"/>
      <c r="R110" s="1"/>
      <c r="S110" s="1"/>
    </row>
    <row r="111" spans="1:19" ht="14.7" x14ac:dyDescent="0.65">
      <c r="A111" s="34">
        <v>110</v>
      </c>
      <c r="B111" s="3" t="s">
        <v>384</v>
      </c>
      <c r="C111" s="1" t="s">
        <v>385</v>
      </c>
      <c r="D111" s="1">
        <v>14</v>
      </c>
      <c r="E111" t="s">
        <v>386</v>
      </c>
      <c r="F111" s="3">
        <v>1</v>
      </c>
      <c r="G111" s="33">
        <v>32874</v>
      </c>
      <c r="H111" s="33">
        <v>32874</v>
      </c>
      <c r="I111" s="1"/>
      <c r="J111" s="1"/>
      <c r="K111" s="1"/>
      <c r="L111" s="1"/>
      <c r="M111" s="1"/>
      <c r="P111" s="3"/>
      <c r="R111" s="1"/>
      <c r="S111" s="1"/>
    </row>
    <row r="112" spans="1:19" ht="14.7" x14ac:dyDescent="0.65">
      <c r="A112" s="34">
        <v>111</v>
      </c>
      <c r="B112" s="3" t="s">
        <v>387</v>
      </c>
      <c r="C112" s="1" t="s">
        <v>388</v>
      </c>
      <c r="D112" s="1">
        <v>14</v>
      </c>
      <c r="E112" t="s">
        <v>389</v>
      </c>
      <c r="F112" s="3">
        <v>1</v>
      </c>
      <c r="G112" s="33">
        <v>32874</v>
      </c>
      <c r="H112" s="33">
        <v>32874</v>
      </c>
      <c r="I112" s="1"/>
      <c r="J112" s="1"/>
      <c r="K112" s="1"/>
      <c r="L112" s="1"/>
      <c r="M112" s="1"/>
      <c r="P112" s="3"/>
      <c r="R112" s="1"/>
      <c r="S112" s="1"/>
    </row>
    <row r="113" spans="1:19" ht="14.7" x14ac:dyDescent="0.65">
      <c r="A113" s="34">
        <v>112</v>
      </c>
      <c r="B113" s="3" t="s">
        <v>390</v>
      </c>
      <c r="C113" s="1" t="s">
        <v>391</v>
      </c>
      <c r="D113" s="1">
        <v>14</v>
      </c>
      <c r="E113" t="s">
        <v>392</v>
      </c>
      <c r="F113" s="3">
        <v>1</v>
      </c>
      <c r="G113" s="33">
        <v>32874</v>
      </c>
      <c r="H113" s="33">
        <v>32874</v>
      </c>
      <c r="I113" s="1"/>
      <c r="J113" s="1"/>
      <c r="K113" s="1"/>
      <c r="L113" s="1"/>
      <c r="M113" s="1"/>
      <c r="P113" s="3"/>
      <c r="R113" s="1"/>
      <c r="S113" s="1"/>
    </row>
    <row r="114" spans="1:19" ht="14.7" x14ac:dyDescent="0.65">
      <c r="A114" s="34">
        <v>113</v>
      </c>
      <c r="B114" s="3" t="s">
        <v>393</v>
      </c>
      <c r="C114" s="1" t="s">
        <v>394</v>
      </c>
      <c r="D114" s="1">
        <v>14</v>
      </c>
      <c r="E114" t="s">
        <v>395</v>
      </c>
      <c r="F114" s="3">
        <v>1</v>
      </c>
      <c r="G114" s="33">
        <v>32874</v>
      </c>
      <c r="H114" s="33">
        <v>32874</v>
      </c>
      <c r="I114" s="1"/>
      <c r="J114" s="1"/>
      <c r="K114" s="1"/>
      <c r="L114" s="1"/>
      <c r="M114" s="1"/>
      <c r="P114" s="3"/>
      <c r="R114" s="1"/>
      <c r="S114" s="1"/>
    </row>
    <row r="115" spans="1:19" ht="14.7" x14ac:dyDescent="0.65">
      <c r="A115" s="34">
        <v>114</v>
      </c>
      <c r="B115" s="3" t="s">
        <v>396</v>
      </c>
      <c r="C115" s="1" t="s">
        <v>397</v>
      </c>
      <c r="D115" s="1">
        <v>14</v>
      </c>
      <c r="E115" t="s">
        <v>398</v>
      </c>
      <c r="F115" s="3">
        <v>1</v>
      </c>
      <c r="G115" s="33">
        <v>32874</v>
      </c>
      <c r="H115" s="33">
        <v>32874</v>
      </c>
      <c r="I115" s="1"/>
      <c r="J115" s="1"/>
      <c r="K115" s="1"/>
      <c r="L115" s="1"/>
      <c r="M115" s="1"/>
      <c r="P115" s="3"/>
      <c r="R115" s="1"/>
      <c r="S115" s="1"/>
    </row>
    <row r="116" spans="1:19" ht="14.7" x14ac:dyDescent="0.65">
      <c r="A116" s="34">
        <v>115</v>
      </c>
      <c r="B116" s="3" t="s">
        <v>399</v>
      </c>
      <c r="C116" s="1" t="s">
        <v>400</v>
      </c>
      <c r="D116" s="1">
        <v>14</v>
      </c>
      <c r="E116" t="s">
        <v>401</v>
      </c>
      <c r="F116" s="3">
        <v>1</v>
      </c>
      <c r="G116" s="33">
        <v>32874</v>
      </c>
      <c r="H116" s="33">
        <v>32874</v>
      </c>
      <c r="I116" s="1"/>
      <c r="J116" s="1"/>
      <c r="K116" s="1"/>
      <c r="L116" s="1"/>
      <c r="M116" s="1"/>
      <c r="P116" s="3"/>
      <c r="R116" s="1"/>
      <c r="S116" s="1"/>
    </row>
    <row r="117" spans="1:19" ht="14.7" x14ac:dyDescent="0.65">
      <c r="A117" s="34">
        <v>116</v>
      </c>
      <c r="B117" s="3" t="s">
        <v>402</v>
      </c>
      <c r="C117" s="1" t="s">
        <v>403</v>
      </c>
      <c r="D117" s="1">
        <v>14</v>
      </c>
      <c r="E117" t="s">
        <v>404</v>
      </c>
      <c r="F117" s="3">
        <v>1</v>
      </c>
      <c r="G117" s="33">
        <v>32874</v>
      </c>
      <c r="H117" s="33">
        <v>32874</v>
      </c>
      <c r="I117" s="1"/>
      <c r="J117" s="1"/>
      <c r="K117" s="1"/>
      <c r="L117" s="1"/>
      <c r="M117" s="1"/>
      <c r="P117" s="3"/>
      <c r="R117" s="1"/>
      <c r="S117" s="1"/>
    </row>
    <row r="118" spans="1:19" ht="14.7" x14ac:dyDescent="0.65">
      <c r="A118" s="34">
        <v>117</v>
      </c>
      <c r="B118" s="3" t="s">
        <v>405</v>
      </c>
      <c r="C118" s="1" t="s">
        <v>406</v>
      </c>
      <c r="D118" s="1">
        <v>14</v>
      </c>
      <c r="E118" t="s">
        <v>407</v>
      </c>
      <c r="F118" s="3">
        <v>1</v>
      </c>
      <c r="G118" s="33">
        <v>32874</v>
      </c>
      <c r="H118" s="33">
        <v>32874</v>
      </c>
      <c r="I118" s="1"/>
      <c r="J118" s="1"/>
      <c r="K118" s="1"/>
      <c r="L118" s="1"/>
      <c r="M118" s="1"/>
      <c r="P118" s="3"/>
      <c r="R118" s="1"/>
      <c r="S118" s="1"/>
    </row>
    <row r="119" spans="1:19" ht="14.7" x14ac:dyDescent="0.65">
      <c r="A119" s="34">
        <v>118</v>
      </c>
      <c r="B119" s="3" t="s">
        <v>408</v>
      </c>
      <c r="C119" s="1" t="s">
        <v>409</v>
      </c>
      <c r="D119" s="1">
        <v>14</v>
      </c>
      <c r="E119" t="s">
        <v>410</v>
      </c>
      <c r="F119" s="3">
        <v>1</v>
      </c>
      <c r="G119" s="33">
        <v>32874</v>
      </c>
      <c r="H119" s="33">
        <v>32874</v>
      </c>
      <c r="I119" s="1"/>
      <c r="J119" s="1"/>
      <c r="K119" s="1"/>
      <c r="L119" s="1"/>
      <c r="M119" s="1"/>
      <c r="P119" s="3"/>
      <c r="R119" s="1"/>
      <c r="S119" s="1"/>
    </row>
    <row r="120" spans="1:19" ht="14.7" x14ac:dyDescent="0.65">
      <c r="A120" s="34">
        <v>119</v>
      </c>
      <c r="B120" s="3" t="s">
        <v>411</v>
      </c>
      <c r="C120" s="1" t="s">
        <v>412</v>
      </c>
      <c r="D120" s="1">
        <v>14</v>
      </c>
      <c r="E120" t="s">
        <v>413</v>
      </c>
      <c r="F120" s="3">
        <v>1</v>
      </c>
      <c r="G120" s="33">
        <v>32874</v>
      </c>
      <c r="H120" s="33">
        <v>32874</v>
      </c>
      <c r="I120" s="1"/>
      <c r="J120" s="1"/>
      <c r="K120" s="1"/>
      <c r="L120" s="1"/>
      <c r="M120" s="1"/>
      <c r="P120" s="3"/>
      <c r="R120" s="1"/>
      <c r="S120" s="1"/>
    </row>
    <row r="121" spans="1:19" ht="14.7" x14ac:dyDescent="0.65">
      <c r="A121" s="34">
        <v>120</v>
      </c>
      <c r="B121" s="3" t="s">
        <v>414</v>
      </c>
      <c r="C121" s="1" t="s">
        <v>415</v>
      </c>
      <c r="D121" s="1">
        <v>14</v>
      </c>
      <c r="E121" t="s">
        <v>416</v>
      </c>
      <c r="F121" s="3">
        <v>1</v>
      </c>
      <c r="G121" s="33">
        <v>32874</v>
      </c>
      <c r="H121" s="33">
        <v>32874</v>
      </c>
      <c r="I121" s="1"/>
      <c r="J121" s="1"/>
      <c r="K121" s="1"/>
      <c r="L121" s="1"/>
      <c r="M121" s="1"/>
      <c r="P121" s="3"/>
      <c r="R121" s="1"/>
      <c r="S121" s="1"/>
    </row>
    <row r="122" spans="1:19" ht="14.7" x14ac:dyDescent="0.65">
      <c r="A122" s="34">
        <v>121</v>
      </c>
      <c r="B122" s="3" t="s">
        <v>417</v>
      </c>
      <c r="C122" s="1" t="s">
        <v>418</v>
      </c>
      <c r="D122" s="1">
        <v>15</v>
      </c>
      <c r="E122" t="s">
        <v>419</v>
      </c>
      <c r="F122" s="3">
        <v>1</v>
      </c>
      <c r="G122" s="33">
        <v>32874</v>
      </c>
      <c r="H122" s="33">
        <v>32874</v>
      </c>
      <c r="I122" s="1"/>
      <c r="J122" s="1"/>
      <c r="K122" s="1"/>
      <c r="L122" s="1"/>
      <c r="M122" s="1"/>
      <c r="P122" s="3"/>
      <c r="R122" s="1"/>
      <c r="S122" s="1"/>
    </row>
    <row r="123" spans="1:19" ht="14.7" x14ac:dyDescent="0.65">
      <c r="A123" s="34">
        <v>122</v>
      </c>
      <c r="B123" s="3" t="s">
        <v>421</v>
      </c>
      <c r="C123" s="1" t="s">
        <v>422</v>
      </c>
      <c r="D123" s="1">
        <v>15</v>
      </c>
      <c r="E123" t="s">
        <v>423</v>
      </c>
      <c r="F123" s="3">
        <v>1</v>
      </c>
      <c r="G123" s="33">
        <v>32874</v>
      </c>
      <c r="H123" s="33">
        <v>32874</v>
      </c>
      <c r="I123" s="1"/>
      <c r="J123" s="1"/>
      <c r="K123" s="1"/>
      <c r="L123" s="1"/>
      <c r="M123" s="1"/>
      <c r="P123" s="3"/>
      <c r="R123" s="1"/>
      <c r="S123" s="1"/>
    </row>
    <row r="124" spans="1:19" ht="14.7" x14ac:dyDescent="0.65">
      <c r="A124" s="34">
        <v>123</v>
      </c>
      <c r="B124" s="3" t="s">
        <v>424</v>
      </c>
      <c r="C124" s="1" t="s">
        <v>425</v>
      </c>
      <c r="D124" s="1">
        <v>15</v>
      </c>
      <c r="E124" t="s">
        <v>426</v>
      </c>
      <c r="F124" s="3">
        <v>1</v>
      </c>
      <c r="G124" s="33">
        <v>32874</v>
      </c>
      <c r="H124" s="33">
        <v>32874</v>
      </c>
      <c r="I124" s="1"/>
      <c r="J124" s="1"/>
      <c r="K124" s="1"/>
      <c r="L124" s="1"/>
      <c r="M124" s="1"/>
      <c r="P124" s="3"/>
      <c r="R124" s="1"/>
      <c r="S124" s="1"/>
    </row>
    <row r="125" spans="1:19" ht="14.7" x14ac:dyDescent="0.65">
      <c r="A125" s="34">
        <v>124</v>
      </c>
      <c r="B125" s="3" t="s">
        <v>427</v>
      </c>
      <c r="C125" s="1" t="s">
        <v>428</v>
      </c>
      <c r="D125" s="1">
        <v>15</v>
      </c>
      <c r="E125" t="s">
        <v>429</v>
      </c>
      <c r="F125" s="3">
        <v>1</v>
      </c>
      <c r="G125" s="33">
        <v>32874</v>
      </c>
      <c r="H125" s="33">
        <v>32874</v>
      </c>
      <c r="I125" s="1"/>
      <c r="J125" s="1"/>
      <c r="K125" s="1"/>
      <c r="L125" s="1"/>
      <c r="M125" s="1"/>
      <c r="P125" s="3"/>
      <c r="R125" s="1"/>
      <c r="S125" s="1"/>
    </row>
    <row r="126" spans="1:19" ht="14.7" x14ac:dyDescent="0.65">
      <c r="A126" s="34">
        <v>125</v>
      </c>
      <c r="B126" s="3" t="s">
        <v>430</v>
      </c>
      <c r="C126" s="1" t="s">
        <v>431</v>
      </c>
      <c r="D126" s="1">
        <v>15</v>
      </c>
      <c r="E126" t="s">
        <v>432</v>
      </c>
      <c r="F126" s="3">
        <v>1</v>
      </c>
      <c r="G126" s="33">
        <v>32874</v>
      </c>
      <c r="H126" s="33">
        <v>32874</v>
      </c>
      <c r="I126" s="1"/>
      <c r="J126" s="1"/>
      <c r="K126" s="1"/>
      <c r="L126" s="1"/>
      <c r="M126" s="1"/>
      <c r="P126" s="3"/>
      <c r="R126" s="1"/>
      <c r="S126" s="1"/>
    </row>
    <row r="127" spans="1:19" ht="14.7" x14ac:dyDescent="0.65">
      <c r="A127" s="34">
        <v>126</v>
      </c>
      <c r="B127" s="3" t="s">
        <v>433</v>
      </c>
      <c r="C127" s="1" t="s">
        <v>434</v>
      </c>
      <c r="D127" s="1">
        <v>15</v>
      </c>
      <c r="E127" t="s">
        <v>435</v>
      </c>
      <c r="F127" s="3">
        <v>1</v>
      </c>
      <c r="G127" s="33">
        <v>32874</v>
      </c>
      <c r="H127" s="33">
        <v>32874</v>
      </c>
      <c r="I127" s="1"/>
      <c r="J127" s="1"/>
      <c r="K127" s="1"/>
      <c r="L127" s="1"/>
      <c r="M127" s="1"/>
      <c r="P127" s="3"/>
      <c r="R127" s="1"/>
      <c r="S127" s="1"/>
    </row>
    <row r="128" spans="1:19" ht="14.7" x14ac:dyDescent="0.65">
      <c r="A128" s="34">
        <v>127</v>
      </c>
      <c r="B128" s="3" t="s">
        <v>436</v>
      </c>
      <c r="C128" s="1" t="s">
        <v>437</v>
      </c>
      <c r="D128" s="1">
        <v>15</v>
      </c>
      <c r="E128" t="s">
        <v>438</v>
      </c>
      <c r="F128" s="3">
        <v>1</v>
      </c>
      <c r="G128" s="33">
        <v>32874</v>
      </c>
      <c r="H128" s="33">
        <v>32874</v>
      </c>
      <c r="I128" s="1"/>
      <c r="J128" s="1"/>
      <c r="K128" s="1"/>
      <c r="L128" s="1"/>
      <c r="M128" s="1"/>
      <c r="P128" s="3"/>
      <c r="R128" s="1"/>
      <c r="S128" s="1"/>
    </row>
    <row r="129" spans="1:19" ht="14.7" x14ac:dyDescent="0.65">
      <c r="A129" s="34">
        <v>128</v>
      </c>
      <c r="B129" s="3" t="s">
        <v>439</v>
      </c>
      <c r="C129" s="1" t="s">
        <v>440</v>
      </c>
      <c r="D129" s="1">
        <v>15</v>
      </c>
      <c r="E129" t="s">
        <v>441</v>
      </c>
      <c r="F129" s="3">
        <v>1</v>
      </c>
      <c r="G129" s="33">
        <v>32874</v>
      </c>
      <c r="H129" s="33">
        <v>32874</v>
      </c>
      <c r="I129" s="1"/>
      <c r="J129" s="1"/>
      <c r="K129" s="1"/>
      <c r="L129" s="1"/>
      <c r="M129" s="1"/>
      <c r="P129" s="3"/>
      <c r="R129" s="1"/>
      <c r="S129" s="1"/>
    </row>
    <row r="130" spans="1:19" ht="14.7" x14ac:dyDescent="0.65">
      <c r="A130" s="34">
        <v>129</v>
      </c>
      <c r="B130" s="3" t="s">
        <v>442</v>
      </c>
      <c r="C130" s="1" t="s">
        <v>443</v>
      </c>
      <c r="D130" s="1">
        <v>15</v>
      </c>
      <c r="E130" t="s">
        <v>444</v>
      </c>
      <c r="F130" s="3">
        <v>1</v>
      </c>
      <c r="G130" s="33">
        <v>32874</v>
      </c>
      <c r="H130" s="33">
        <v>32874</v>
      </c>
      <c r="I130" s="1"/>
      <c r="J130" s="1"/>
      <c r="K130" s="1"/>
      <c r="L130" s="1"/>
      <c r="M130" s="1"/>
      <c r="P130" s="3"/>
      <c r="R130" s="1"/>
      <c r="S130" s="1"/>
    </row>
    <row r="131" spans="1:19" ht="14.7" x14ac:dyDescent="0.65">
      <c r="A131" s="34">
        <v>130</v>
      </c>
      <c r="B131" s="3" t="s">
        <v>445</v>
      </c>
      <c r="C131" s="1" t="s">
        <v>446</v>
      </c>
      <c r="D131" s="1">
        <v>15</v>
      </c>
      <c r="E131" t="s">
        <v>447</v>
      </c>
      <c r="F131" s="3">
        <v>1</v>
      </c>
      <c r="G131" s="33">
        <v>32874</v>
      </c>
      <c r="H131" s="33">
        <v>32874</v>
      </c>
      <c r="I131" s="1"/>
      <c r="J131" s="1"/>
      <c r="K131" s="1"/>
      <c r="L131" s="1"/>
      <c r="M131" s="1"/>
      <c r="P131" s="3"/>
      <c r="R131" s="1"/>
      <c r="S131" s="1"/>
    </row>
    <row r="132" spans="1:19" ht="14.7" x14ac:dyDescent="0.65">
      <c r="A132" s="34">
        <v>131</v>
      </c>
      <c r="B132" s="3" t="s">
        <v>448</v>
      </c>
      <c r="C132" s="1" t="s">
        <v>449</v>
      </c>
      <c r="D132" s="1">
        <v>15</v>
      </c>
      <c r="E132" t="s">
        <v>450</v>
      </c>
      <c r="F132" s="3">
        <v>1</v>
      </c>
      <c r="G132" s="33">
        <v>32874</v>
      </c>
      <c r="H132" s="33">
        <v>32874</v>
      </c>
      <c r="I132" s="1"/>
      <c r="J132" s="1"/>
      <c r="K132" s="1"/>
      <c r="L132" s="1"/>
      <c r="M132" s="1"/>
      <c r="P132" s="3"/>
      <c r="R132" s="1"/>
      <c r="S132" s="1"/>
    </row>
    <row r="133" spans="1:19" ht="14.7" x14ac:dyDescent="0.65">
      <c r="A133" s="34">
        <v>132</v>
      </c>
      <c r="B133" s="3" t="s">
        <v>451</v>
      </c>
      <c r="C133" s="1" t="s">
        <v>452</v>
      </c>
      <c r="D133" s="1">
        <v>15</v>
      </c>
      <c r="E133" t="s">
        <v>453</v>
      </c>
      <c r="F133" s="3">
        <v>1</v>
      </c>
      <c r="G133" s="33">
        <v>32874</v>
      </c>
      <c r="H133" s="33">
        <v>32874</v>
      </c>
      <c r="I133" s="1"/>
      <c r="J133" s="1"/>
      <c r="K133" s="1"/>
      <c r="L133" s="1"/>
      <c r="M133" s="1"/>
      <c r="P133" s="3"/>
      <c r="R133" s="1"/>
      <c r="S133" s="1"/>
    </row>
    <row r="134" spans="1:19" ht="14.7" x14ac:dyDescent="0.65">
      <c r="A134" s="34">
        <v>133</v>
      </c>
      <c r="B134" s="3" t="s">
        <v>454</v>
      </c>
      <c r="C134" s="1" t="s">
        <v>455</v>
      </c>
      <c r="D134" s="1">
        <v>15</v>
      </c>
      <c r="E134" t="s">
        <v>456</v>
      </c>
      <c r="F134" s="3">
        <v>1</v>
      </c>
      <c r="G134" s="33">
        <v>32874</v>
      </c>
      <c r="H134" s="33">
        <v>32874</v>
      </c>
      <c r="I134" s="1"/>
      <c r="J134" s="1"/>
      <c r="K134" s="1"/>
      <c r="L134" s="1"/>
      <c r="M134" s="1"/>
      <c r="P134" s="3"/>
      <c r="R134" s="1"/>
      <c r="S134" s="1"/>
    </row>
    <row r="135" spans="1:19" ht="14.7" x14ac:dyDescent="0.65">
      <c r="A135" s="34">
        <v>134</v>
      </c>
      <c r="B135" s="3" t="s">
        <v>457</v>
      </c>
      <c r="C135" s="1" t="s">
        <v>458</v>
      </c>
      <c r="D135" s="1">
        <v>15</v>
      </c>
      <c r="E135" t="s">
        <v>459</v>
      </c>
      <c r="F135" s="3">
        <v>1</v>
      </c>
      <c r="G135" s="33">
        <v>32874</v>
      </c>
      <c r="H135" s="33">
        <v>32874</v>
      </c>
      <c r="I135" s="1"/>
      <c r="J135" s="1"/>
      <c r="K135" s="1"/>
      <c r="L135" s="1"/>
      <c r="M135" s="1"/>
      <c r="P135" s="3"/>
      <c r="R135" s="1"/>
      <c r="S135" s="1"/>
    </row>
    <row r="136" spans="1:19" ht="14.7" x14ac:dyDescent="0.65">
      <c r="A136" s="34">
        <v>135</v>
      </c>
      <c r="B136" s="3" t="s">
        <v>460</v>
      </c>
      <c r="C136" s="1" t="s">
        <v>461</v>
      </c>
      <c r="D136" s="1">
        <v>15</v>
      </c>
      <c r="E136" t="s">
        <v>462</v>
      </c>
      <c r="F136" s="3">
        <v>1</v>
      </c>
      <c r="G136" s="33">
        <v>32874</v>
      </c>
      <c r="H136" s="33">
        <v>32874</v>
      </c>
      <c r="I136" s="1"/>
      <c r="J136" s="1"/>
      <c r="K136" s="1"/>
      <c r="L136" s="1"/>
      <c r="M136" s="1"/>
      <c r="P136" s="3"/>
      <c r="R136" s="1"/>
      <c r="S136" s="1"/>
    </row>
    <row r="137" spans="1:19" ht="14.7" x14ac:dyDescent="0.65">
      <c r="A137" s="34">
        <v>136</v>
      </c>
      <c r="B137" s="3" t="s">
        <v>463</v>
      </c>
      <c r="C137" s="1" t="s">
        <v>464</v>
      </c>
      <c r="D137" s="1">
        <v>15</v>
      </c>
      <c r="E137" t="s">
        <v>465</v>
      </c>
      <c r="F137" s="3">
        <v>1</v>
      </c>
      <c r="G137" s="33">
        <v>32874</v>
      </c>
      <c r="H137" s="33">
        <v>32874</v>
      </c>
      <c r="I137" s="1"/>
      <c r="J137" s="1"/>
      <c r="K137" s="1"/>
      <c r="L137" s="1"/>
      <c r="M137" s="1"/>
      <c r="P137" s="3"/>
      <c r="R137" s="1"/>
      <c r="S137" s="1"/>
    </row>
    <row r="138" spans="1:19" ht="14.7" x14ac:dyDescent="0.65">
      <c r="A138" s="34">
        <v>137</v>
      </c>
      <c r="B138" s="3" t="s">
        <v>466</v>
      </c>
      <c r="C138" s="1" t="s">
        <v>467</v>
      </c>
      <c r="D138" s="1">
        <v>15</v>
      </c>
      <c r="E138" t="s">
        <v>468</v>
      </c>
      <c r="F138" s="3">
        <v>1</v>
      </c>
      <c r="G138" s="33">
        <v>32874</v>
      </c>
      <c r="H138" s="33">
        <v>32874</v>
      </c>
      <c r="I138" s="1"/>
      <c r="J138" s="1"/>
      <c r="K138" s="1"/>
      <c r="L138" s="1"/>
      <c r="M138" s="1"/>
      <c r="P138" s="3"/>
      <c r="R138" s="1"/>
      <c r="S138" s="1"/>
    </row>
    <row r="139" spans="1:19" ht="14.7" x14ac:dyDescent="0.65">
      <c r="A139" s="34">
        <v>138</v>
      </c>
      <c r="B139" s="3" t="s">
        <v>469</v>
      </c>
      <c r="C139" s="1" t="s">
        <v>470</v>
      </c>
      <c r="D139" s="1">
        <v>15</v>
      </c>
      <c r="E139" t="s">
        <v>471</v>
      </c>
      <c r="F139" s="3">
        <v>1</v>
      </c>
      <c r="G139" s="33">
        <v>32874</v>
      </c>
      <c r="H139" s="33">
        <v>32874</v>
      </c>
      <c r="I139" s="1"/>
      <c r="J139" s="1"/>
      <c r="K139" s="1"/>
      <c r="L139" s="1"/>
      <c r="M139" s="1"/>
      <c r="P139" s="3"/>
      <c r="R139" s="1"/>
      <c r="S139" s="1"/>
    </row>
    <row r="140" spans="1:19" ht="14.7" x14ac:dyDescent="0.65">
      <c r="A140" s="34">
        <v>139</v>
      </c>
      <c r="B140" s="3" t="s">
        <v>472</v>
      </c>
      <c r="C140" s="1" t="s">
        <v>473</v>
      </c>
      <c r="D140" s="1">
        <v>15</v>
      </c>
      <c r="E140" t="s">
        <v>474</v>
      </c>
      <c r="F140" s="3">
        <v>1</v>
      </c>
      <c r="G140" s="33">
        <v>32874</v>
      </c>
      <c r="H140" s="33">
        <v>32874</v>
      </c>
      <c r="I140" s="1"/>
      <c r="J140" s="1"/>
      <c r="K140" s="1"/>
      <c r="L140" s="1"/>
      <c r="M140" s="1"/>
      <c r="P140" s="3"/>
      <c r="R140" s="1"/>
      <c r="S140" s="1"/>
    </row>
    <row r="141" spans="1:19" ht="14.7" x14ac:dyDescent="0.65">
      <c r="A141" s="34">
        <v>140</v>
      </c>
      <c r="B141" s="3" t="s">
        <v>475</v>
      </c>
      <c r="C141" s="1" t="s">
        <v>476</v>
      </c>
      <c r="D141" s="1">
        <v>15</v>
      </c>
      <c r="E141" t="s">
        <v>477</v>
      </c>
      <c r="F141" s="3">
        <v>1</v>
      </c>
      <c r="G141" s="33">
        <v>32874</v>
      </c>
      <c r="H141" s="33">
        <v>32874</v>
      </c>
      <c r="I141" s="1"/>
      <c r="J141" s="1"/>
      <c r="K141" s="1"/>
      <c r="L141" s="1"/>
      <c r="M141" s="1"/>
      <c r="P141" s="3"/>
      <c r="R141" s="1"/>
      <c r="S141" s="1"/>
    </row>
    <row r="142" spans="1:19" ht="14.7" x14ac:dyDescent="0.65">
      <c r="A142" s="34">
        <v>141</v>
      </c>
      <c r="B142" s="3" t="s">
        <v>478</v>
      </c>
      <c r="C142" s="1" t="s">
        <v>479</v>
      </c>
      <c r="D142" s="1">
        <v>15</v>
      </c>
      <c r="E142" t="s">
        <v>480</v>
      </c>
      <c r="F142" s="3">
        <v>1</v>
      </c>
      <c r="G142" s="33">
        <v>32874</v>
      </c>
      <c r="H142" s="33">
        <v>32874</v>
      </c>
      <c r="I142" s="1"/>
      <c r="J142" s="1"/>
      <c r="K142" s="1"/>
      <c r="L142" s="1"/>
      <c r="M142" s="1"/>
      <c r="P142" s="3"/>
      <c r="R142" s="1"/>
      <c r="S142" s="1"/>
    </row>
    <row r="143" spans="1:19" ht="14.7" x14ac:dyDescent="0.65">
      <c r="A143" s="34">
        <v>142</v>
      </c>
      <c r="B143" s="3" t="s">
        <v>481</v>
      </c>
      <c r="C143" s="1" t="s">
        <v>482</v>
      </c>
      <c r="D143" s="1">
        <v>16</v>
      </c>
      <c r="E143" t="s">
        <v>483</v>
      </c>
      <c r="F143" s="3">
        <v>1</v>
      </c>
      <c r="G143" s="33">
        <v>32874</v>
      </c>
      <c r="H143" s="33">
        <v>32874</v>
      </c>
      <c r="I143" s="1"/>
      <c r="J143" s="1"/>
      <c r="K143" s="1"/>
      <c r="L143" s="1"/>
      <c r="M143" s="1"/>
      <c r="P143" s="3"/>
      <c r="R143" s="1"/>
      <c r="S143" s="1"/>
    </row>
    <row r="144" spans="1:19" ht="14.7" x14ac:dyDescent="0.65">
      <c r="A144" s="34">
        <v>143</v>
      </c>
      <c r="B144" s="3" t="s">
        <v>485</v>
      </c>
      <c r="C144" s="1" t="s">
        <v>486</v>
      </c>
      <c r="D144" s="1">
        <v>16</v>
      </c>
      <c r="E144" t="s">
        <v>487</v>
      </c>
      <c r="F144" s="3">
        <v>1</v>
      </c>
      <c r="G144" s="33">
        <v>32874</v>
      </c>
      <c r="H144" s="33">
        <v>32874</v>
      </c>
      <c r="I144" s="1"/>
      <c r="J144" s="1"/>
      <c r="K144" s="1"/>
      <c r="L144" s="1"/>
      <c r="M144" s="1"/>
      <c r="P144" s="3"/>
      <c r="R144" s="1"/>
      <c r="S144" s="1"/>
    </row>
    <row r="145" spans="1:19" ht="14.7" x14ac:dyDescent="0.65">
      <c r="A145" s="34">
        <v>144</v>
      </c>
      <c r="B145" s="3" t="s">
        <v>488</v>
      </c>
      <c r="C145" s="1" t="s">
        <v>489</v>
      </c>
      <c r="D145" s="1">
        <v>16</v>
      </c>
      <c r="E145" t="s">
        <v>490</v>
      </c>
      <c r="F145" s="3">
        <v>1</v>
      </c>
      <c r="G145" s="33">
        <v>32874</v>
      </c>
      <c r="H145" s="33">
        <v>32874</v>
      </c>
      <c r="I145" s="1"/>
      <c r="J145" s="1"/>
      <c r="K145" s="1"/>
      <c r="L145" s="1"/>
      <c r="M145" s="1"/>
      <c r="P145" s="3"/>
      <c r="R145" s="1"/>
      <c r="S145" s="1"/>
    </row>
    <row r="146" spans="1:19" ht="14.7" x14ac:dyDescent="0.65">
      <c r="A146" s="34">
        <v>145</v>
      </c>
      <c r="B146" s="3" t="s">
        <v>491</v>
      </c>
      <c r="C146" s="1" t="s">
        <v>492</v>
      </c>
      <c r="D146" s="1">
        <v>16</v>
      </c>
      <c r="E146" t="s">
        <v>493</v>
      </c>
      <c r="F146" s="3">
        <v>1</v>
      </c>
      <c r="G146" s="33">
        <v>32874</v>
      </c>
      <c r="H146" s="33">
        <v>32874</v>
      </c>
      <c r="I146" s="1"/>
      <c r="J146" s="1"/>
      <c r="K146" s="1"/>
      <c r="L146" s="1"/>
      <c r="M146" s="1"/>
      <c r="P146" s="3"/>
      <c r="R146" s="1"/>
      <c r="S146" s="1"/>
    </row>
    <row r="147" spans="1:19" ht="14.7" x14ac:dyDescent="0.65">
      <c r="A147" s="34">
        <v>146</v>
      </c>
      <c r="B147" s="3" t="s">
        <v>494</v>
      </c>
      <c r="C147" s="1" t="s">
        <v>495</v>
      </c>
      <c r="D147" s="1">
        <v>16</v>
      </c>
      <c r="E147" t="s">
        <v>496</v>
      </c>
      <c r="F147" s="3">
        <v>1</v>
      </c>
      <c r="G147" s="33">
        <v>32874</v>
      </c>
      <c r="H147" s="33">
        <v>32874</v>
      </c>
      <c r="I147" s="1"/>
      <c r="J147" s="1"/>
      <c r="K147" s="1"/>
      <c r="L147" s="1"/>
      <c r="M147" s="1"/>
      <c r="P147" s="3"/>
      <c r="R147" s="1"/>
      <c r="S147" s="1"/>
    </row>
    <row r="148" spans="1:19" ht="14.7" x14ac:dyDescent="0.65">
      <c r="A148" s="34">
        <v>147</v>
      </c>
      <c r="B148" s="3" t="s">
        <v>497</v>
      </c>
      <c r="C148" s="1" t="s">
        <v>498</v>
      </c>
      <c r="D148" s="1">
        <v>16</v>
      </c>
      <c r="E148" t="s">
        <v>499</v>
      </c>
      <c r="F148" s="3">
        <v>1</v>
      </c>
      <c r="G148" s="33">
        <v>32874</v>
      </c>
      <c r="H148" s="33">
        <v>32874</v>
      </c>
      <c r="I148" s="1"/>
      <c r="J148" s="1"/>
      <c r="K148" s="1"/>
      <c r="L148" s="1"/>
      <c r="M148" s="1"/>
      <c r="P148" s="3"/>
      <c r="R148" s="1"/>
      <c r="S148" s="1"/>
    </row>
    <row r="149" spans="1:19" ht="14.7" x14ac:dyDescent="0.65">
      <c r="A149" s="34">
        <v>148</v>
      </c>
      <c r="B149" s="3" t="s">
        <v>500</v>
      </c>
      <c r="C149" s="1" t="s">
        <v>501</v>
      </c>
      <c r="D149" s="1">
        <v>16</v>
      </c>
      <c r="E149" t="s">
        <v>502</v>
      </c>
      <c r="F149" s="3">
        <v>1</v>
      </c>
      <c r="G149" s="33">
        <v>32874</v>
      </c>
      <c r="H149" s="33">
        <v>32874</v>
      </c>
      <c r="I149" s="1"/>
      <c r="J149" s="1"/>
      <c r="K149" s="1"/>
      <c r="L149" s="1"/>
      <c r="M149" s="1"/>
      <c r="P149" s="3"/>
      <c r="R149" s="1"/>
      <c r="S149" s="1"/>
    </row>
    <row r="150" spans="1:19" ht="14.7" x14ac:dyDescent="0.65">
      <c r="A150" s="34">
        <v>149</v>
      </c>
      <c r="B150" s="3" t="s">
        <v>503</v>
      </c>
      <c r="C150" s="1" t="s">
        <v>504</v>
      </c>
      <c r="D150" s="1">
        <v>16</v>
      </c>
      <c r="E150" t="s">
        <v>505</v>
      </c>
      <c r="F150" s="3">
        <v>1</v>
      </c>
      <c r="G150" s="33">
        <v>32874</v>
      </c>
      <c r="H150" s="33">
        <v>32874</v>
      </c>
      <c r="I150" s="1"/>
      <c r="J150" s="1"/>
      <c r="K150" s="1"/>
      <c r="L150" s="1"/>
      <c r="M150" s="1"/>
      <c r="P150" s="3"/>
      <c r="R150" s="1"/>
      <c r="S150" s="1"/>
    </row>
    <row r="151" spans="1:19" ht="14.7" x14ac:dyDescent="0.65">
      <c r="A151" s="34">
        <v>150</v>
      </c>
      <c r="B151" s="3" t="s">
        <v>506</v>
      </c>
      <c r="C151" s="1" t="s">
        <v>507</v>
      </c>
      <c r="D151" s="1">
        <v>16</v>
      </c>
      <c r="E151" t="s">
        <v>508</v>
      </c>
      <c r="F151" s="3">
        <v>1</v>
      </c>
      <c r="G151" s="33">
        <v>32874</v>
      </c>
      <c r="H151" s="33">
        <v>32874</v>
      </c>
      <c r="I151" s="1"/>
      <c r="J151" s="1"/>
      <c r="K151" s="1"/>
      <c r="L151" s="1"/>
      <c r="M151" s="1"/>
      <c r="P151" s="3"/>
      <c r="R151" s="1"/>
      <c r="S151" s="1"/>
    </row>
    <row r="152" spans="1:19" ht="14.7" x14ac:dyDescent="0.65">
      <c r="A152" s="34">
        <v>151</v>
      </c>
      <c r="B152" s="3" t="s">
        <v>509</v>
      </c>
      <c r="C152" s="1" t="s">
        <v>510</v>
      </c>
      <c r="D152" s="1">
        <v>16</v>
      </c>
      <c r="E152" t="s">
        <v>511</v>
      </c>
      <c r="F152" s="3">
        <v>1</v>
      </c>
      <c r="G152" s="33">
        <v>32874</v>
      </c>
      <c r="H152" s="33">
        <v>32874</v>
      </c>
      <c r="I152" s="1"/>
      <c r="J152" s="1"/>
      <c r="K152" s="1"/>
      <c r="L152" s="1"/>
      <c r="M152" s="1"/>
      <c r="P152" s="3"/>
      <c r="R152" s="1"/>
      <c r="S152" s="1"/>
    </row>
    <row r="153" spans="1:19" ht="14.7" x14ac:dyDescent="0.65">
      <c r="A153" s="34">
        <v>152</v>
      </c>
      <c r="B153" s="3" t="s">
        <v>512</v>
      </c>
      <c r="C153" s="1" t="s">
        <v>513</v>
      </c>
      <c r="D153" s="1">
        <v>16</v>
      </c>
      <c r="E153" t="s">
        <v>514</v>
      </c>
      <c r="F153" s="3">
        <v>1</v>
      </c>
      <c r="G153" s="33">
        <v>32874</v>
      </c>
      <c r="H153" s="33">
        <v>32874</v>
      </c>
      <c r="I153" s="1"/>
      <c r="J153" s="1"/>
      <c r="K153" s="1"/>
      <c r="L153" s="1"/>
      <c r="M153" s="1"/>
      <c r="P153" s="3"/>
      <c r="R153" s="1"/>
      <c r="S153" s="1"/>
    </row>
    <row r="154" spans="1:19" ht="14.7" x14ac:dyDescent="0.65">
      <c r="A154" s="34">
        <v>153</v>
      </c>
      <c r="B154" s="3" t="s">
        <v>515</v>
      </c>
      <c r="C154" s="1" t="s">
        <v>516</v>
      </c>
      <c r="D154" s="1">
        <v>16</v>
      </c>
      <c r="E154" t="s">
        <v>517</v>
      </c>
      <c r="F154" s="3">
        <v>1</v>
      </c>
      <c r="G154" s="33">
        <v>32874</v>
      </c>
      <c r="H154" s="33">
        <v>32874</v>
      </c>
      <c r="I154" s="1"/>
      <c r="J154" s="1"/>
      <c r="K154" s="1"/>
      <c r="L154" s="1"/>
      <c r="M154" s="1"/>
      <c r="P154" s="3"/>
      <c r="R154" s="1"/>
      <c r="S154" s="1"/>
    </row>
    <row r="155" spans="1:19" ht="14.7" x14ac:dyDescent="0.65">
      <c r="A155" s="34">
        <v>154</v>
      </c>
      <c r="B155" s="3" t="s">
        <v>518</v>
      </c>
      <c r="C155" s="1" t="s">
        <v>519</v>
      </c>
      <c r="D155" s="1">
        <v>16</v>
      </c>
      <c r="E155" t="s">
        <v>520</v>
      </c>
      <c r="F155" s="3">
        <v>1</v>
      </c>
      <c r="G155" s="33">
        <v>32874</v>
      </c>
      <c r="H155" s="33">
        <v>32874</v>
      </c>
      <c r="I155" s="1"/>
      <c r="J155" s="1"/>
      <c r="K155" s="1"/>
      <c r="L155" s="1"/>
      <c r="M155" s="1"/>
      <c r="P155" s="3"/>
      <c r="R155" s="1"/>
      <c r="S155" s="1"/>
    </row>
    <row r="156" spans="1:19" ht="14.7" x14ac:dyDescent="0.65">
      <c r="A156" s="34">
        <v>155</v>
      </c>
      <c r="B156" s="3" t="s">
        <v>521</v>
      </c>
      <c r="C156" s="1" t="s">
        <v>522</v>
      </c>
      <c r="D156" s="1">
        <v>16</v>
      </c>
      <c r="E156" t="s">
        <v>523</v>
      </c>
      <c r="F156" s="3">
        <v>1</v>
      </c>
      <c r="G156" s="33">
        <v>32874</v>
      </c>
      <c r="H156" s="33">
        <v>32874</v>
      </c>
      <c r="I156" s="1"/>
      <c r="J156" s="1"/>
      <c r="K156" s="1"/>
      <c r="L156" s="1"/>
      <c r="M156" s="1"/>
      <c r="P156" s="3"/>
      <c r="R156" s="1"/>
      <c r="S156" s="1"/>
    </row>
    <row r="157" spans="1:19" ht="14.7" x14ac:dyDescent="0.65">
      <c r="A157" s="34">
        <v>156</v>
      </c>
      <c r="B157" s="3" t="s">
        <v>524</v>
      </c>
      <c r="C157" s="1" t="s">
        <v>525</v>
      </c>
      <c r="D157" s="1">
        <v>16</v>
      </c>
      <c r="E157" t="s">
        <v>526</v>
      </c>
      <c r="F157" s="3">
        <v>1</v>
      </c>
      <c r="G157" s="33">
        <v>32874</v>
      </c>
      <c r="H157" s="33">
        <v>32874</v>
      </c>
      <c r="I157" s="1"/>
      <c r="J157" s="1"/>
      <c r="K157" s="1"/>
      <c r="L157" s="1"/>
      <c r="M157" s="1"/>
      <c r="P157" s="3"/>
      <c r="R157" s="1"/>
      <c r="S157" s="1"/>
    </row>
    <row r="158" spans="1:19" ht="14.7" x14ac:dyDescent="0.65">
      <c r="A158" s="34">
        <v>157</v>
      </c>
      <c r="B158" s="3" t="s">
        <v>527</v>
      </c>
      <c r="C158" s="1" t="s">
        <v>528</v>
      </c>
      <c r="D158" s="1">
        <v>16</v>
      </c>
      <c r="E158" t="s">
        <v>529</v>
      </c>
      <c r="F158" s="3">
        <v>1</v>
      </c>
      <c r="G158" s="33">
        <v>32874</v>
      </c>
      <c r="H158" s="33">
        <v>32874</v>
      </c>
      <c r="I158" s="1"/>
      <c r="J158" s="1"/>
      <c r="K158" s="1"/>
      <c r="L158" s="1"/>
      <c r="M158" s="1"/>
      <c r="P158" s="3"/>
      <c r="R158" s="1"/>
      <c r="S158" s="1"/>
    </row>
    <row r="159" spans="1:19" ht="14.7" x14ac:dyDescent="0.65">
      <c r="A159" s="34">
        <v>158</v>
      </c>
      <c r="B159" s="3" t="s">
        <v>530</v>
      </c>
      <c r="C159" s="1" t="s">
        <v>531</v>
      </c>
      <c r="D159" s="1">
        <v>16</v>
      </c>
      <c r="E159" t="s">
        <v>532</v>
      </c>
      <c r="F159" s="3">
        <v>1</v>
      </c>
      <c r="G159" s="33">
        <v>32874</v>
      </c>
      <c r="H159" s="33">
        <v>32874</v>
      </c>
      <c r="I159" s="1"/>
      <c r="J159" s="1"/>
      <c r="K159" s="1"/>
      <c r="L159" s="1"/>
      <c r="M159" s="1"/>
      <c r="P159" s="3"/>
      <c r="R159" s="1"/>
      <c r="S159" s="1"/>
    </row>
    <row r="160" spans="1:19" ht="14.7" x14ac:dyDescent="0.65">
      <c r="A160" s="34">
        <v>159</v>
      </c>
      <c r="B160" s="3" t="s">
        <v>533</v>
      </c>
      <c r="C160" s="1" t="s">
        <v>534</v>
      </c>
      <c r="D160" s="1">
        <v>16</v>
      </c>
      <c r="E160" t="s">
        <v>535</v>
      </c>
      <c r="F160" s="3">
        <v>1</v>
      </c>
      <c r="G160" s="33">
        <v>32874</v>
      </c>
      <c r="H160" s="33">
        <v>32874</v>
      </c>
      <c r="I160" s="1"/>
      <c r="J160" s="1"/>
      <c r="K160" s="1"/>
      <c r="L160" s="1"/>
      <c r="M160" s="1"/>
      <c r="P160" s="3"/>
      <c r="R160" s="1"/>
      <c r="S160" s="1"/>
    </row>
    <row r="161" spans="1:19" ht="14.7" x14ac:dyDescent="0.65">
      <c r="A161" s="34">
        <v>160</v>
      </c>
      <c r="B161" s="3" t="s">
        <v>536</v>
      </c>
      <c r="C161" s="1" t="s">
        <v>537</v>
      </c>
      <c r="D161" s="1">
        <v>16</v>
      </c>
      <c r="E161" t="s">
        <v>538</v>
      </c>
      <c r="F161" s="3">
        <v>1</v>
      </c>
      <c r="G161" s="33">
        <v>32874</v>
      </c>
      <c r="H161" s="33">
        <v>32874</v>
      </c>
      <c r="I161" s="1"/>
      <c r="J161" s="1"/>
      <c r="K161" s="1"/>
      <c r="L161" s="1"/>
      <c r="M161" s="1"/>
      <c r="P161" s="3"/>
      <c r="R161" s="1"/>
      <c r="S161" s="1"/>
    </row>
    <row r="162" spans="1:19" ht="14.7" x14ac:dyDescent="0.65">
      <c r="A162" s="34">
        <v>161</v>
      </c>
      <c r="B162" s="3" t="s">
        <v>539</v>
      </c>
      <c r="C162" s="1" t="s">
        <v>540</v>
      </c>
      <c r="D162" s="1">
        <v>16</v>
      </c>
      <c r="E162" t="s">
        <v>541</v>
      </c>
      <c r="F162" s="3">
        <v>1</v>
      </c>
      <c r="G162" s="33">
        <v>32874</v>
      </c>
      <c r="H162" s="33">
        <v>32874</v>
      </c>
      <c r="I162" s="1"/>
      <c r="J162" s="1"/>
      <c r="K162" s="1"/>
      <c r="L162" s="1"/>
      <c r="M162" s="1"/>
      <c r="P162" s="3"/>
      <c r="R162" s="1"/>
      <c r="S162" s="1"/>
    </row>
    <row r="163" spans="1:19" ht="14.7" x14ac:dyDescent="0.65">
      <c r="A163" s="34">
        <v>162</v>
      </c>
      <c r="B163" s="3" t="s">
        <v>542</v>
      </c>
      <c r="C163" s="1" t="s">
        <v>543</v>
      </c>
      <c r="D163" s="1">
        <v>16</v>
      </c>
      <c r="E163" t="s">
        <v>544</v>
      </c>
      <c r="F163" s="3">
        <v>1</v>
      </c>
      <c r="G163" s="33">
        <v>32874</v>
      </c>
      <c r="H163" s="33">
        <v>32874</v>
      </c>
      <c r="I163" s="1"/>
      <c r="J163" s="1"/>
      <c r="K163" s="1"/>
      <c r="L163" s="1"/>
      <c r="M163" s="1"/>
      <c r="P163" s="3"/>
      <c r="R163" s="1"/>
      <c r="S163" s="1"/>
    </row>
    <row r="164" spans="1:19" ht="14.7" x14ac:dyDescent="0.65">
      <c r="A164" s="34">
        <v>163</v>
      </c>
      <c r="B164" s="3" t="s">
        <v>545</v>
      </c>
      <c r="C164" s="1" t="s">
        <v>546</v>
      </c>
      <c r="D164" s="1">
        <v>16</v>
      </c>
      <c r="E164" t="s">
        <v>547</v>
      </c>
      <c r="F164" s="3">
        <v>1</v>
      </c>
      <c r="G164" s="33">
        <v>32874</v>
      </c>
      <c r="H164" s="33">
        <v>32874</v>
      </c>
      <c r="I164" s="1"/>
      <c r="J164" s="1"/>
      <c r="K164" s="1"/>
      <c r="L164" s="1"/>
      <c r="M164" s="1"/>
      <c r="P164" s="3"/>
      <c r="R164" s="1"/>
      <c r="S164" s="1"/>
    </row>
    <row r="165" spans="1:19" ht="14.7" x14ac:dyDescent="0.65">
      <c r="A165" s="34">
        <v>164</v>
      </c>
      <c r="B165" s="3" t="s">
        <v>548</v>
      </c>
      <c r="C165" s="1" t="s">
        <v>549</v>
      </c>
      <c r="D165" s="1">
        <v>16</v>
      </c>
      <c r="E165" t="s">
        <v>550</v>
      </c>
      <c r="F165" s="3">
        <v>1</v>
      </c>
      <c r="G165" s="33">
        <v>32874</v>
      </c>
      <c r="H165" s="33">
        <v>32874</v>
      </c>
      <c r="I165" s="1"/>
      <c r="J165" s="1"/>
      <c r="K165" s="1"/>
      <c r="L165" s="1"/>
      <c r="M165" s="1"/>
      <c r="P165" s="3"/>
      <c r="R165" s="1"/>
      <c r="S165" s="1"/>
    </row>
    <row r="166" spans="1:19" ht="14.7" x14ac:dyDescent="0.65">
      <c r="A166" s="34">
        <v>165</v>
      </c>
      <c r="B166" s="3" t="s">
        <v>551</v>
      </c>
      <c r="C166" s="1" t="s">
        <v>552</v>
      </c>
      <c r="D166" s="1">
        <v>16</v>
      </c>
      <c r="E166" t="s">
        <v>553</v>
      </c>
      <c r="F166" s="3">
        <v>1</v>
      </c>
      <c r="G166" s="33">
        <v>32874</v>
      </c>
      <c r="H166" s="33">
        <v>32874</v>
      </c>
      <c r="I166" s="1"/>
      <c r="J166" s="1"/>
      <c r="K166" s="1"/>
      <c r="L166" s="1"/>
      <c r="M166" s="1"/>
      <c r="P166" s="3"/>
      <c r="R166" s="1"/>
      <c r="S166" s="1"/>
    </row>
    <row r="167" spans="1:19" ht="14.7" x14ac:dyDescent="0.65">
      <c r="A167" s="34">
        <v>166</v>
      </c>
      <c r="B167" s="3" t="s">
        <v>554</v>
      </c>
      <c r="C167" s="1" t="s">
        <v>555</v>
      </c>
      <c r="D167" s="1">
        <v>16</v>
      </c>
      <c r="E167" t="s">
        <v>556</v>
      </c>
      <c r="F167" s="3">
        <v>1</v>
      </c>
      <c r="G167" s="33">
        <v>32874</v>
      </c>
      <c r="H167" s="33">
        <v>32874</v>
      </c>
      <c r="I167" s="1"/>
      <c r="J167" s="1"/>
      <c r="K167" s="1"/>
      <c r="L167" s="1"/>
      <c r="M167" s="1"/>
      <c r="P167" s="3"/>
      <c r="R167" s="1"/>
      <c r="S167" s="1"/>
    </row>
    <row r="168" spans="1:19" ht="14.7" x14ac:dyDescent="0.65">
      <c r="A168" s="34">
        <v>167</v>
      </c>
      <c r="B168" s="3" t="s">
        <v>557</v>
      </c>
      <c r="C168" s="1" t="s">
        <v>558</v>
      </c>
      <c r="D168" s="1">
        <v>16</v>
      </c>
      <c r="E168" t="s">
        <v>559</v>
      </c>
      <c r="F168" s="3">
        <v>1</v>
      </c>
      <c r="G168" s="33">
        <v>32874</v>
      </c>
      <c r="H168" s="33">
        <v>32874</v>
      </c>
      <c r="I168" s="1"/>
      <c r="J168" s="1"/>
      <c r="K168" s="1"/>
      <c r="L168" s="1"/>
      <c r="M168" s="1"/>
      <c r="P168" s="3"/>
      <c r="R168" s="1"/>
      <c r="S168" s="1"/>
    </row>
    <row r="169" spans="1:19" ht="14.7" x14ac:dyDescent="0.65">
      <c r="A169" s="34">
        <v>168</v>
      </c>
      <c r="B169" s="3" t="s">
        <v>560</v>
      </c>
      <c r="C169" s="1" t="s">
        <v>561</v>
      </c>
      <c r="D169" s="1">
        <v>16</v>
      </c>
      <c r="E169" t="s">
        <v>562</v>
      </c>
      <c r="F169" s="3">
        <v>1</v>
      </c>
      <c r="G169" s="33">
        <v>32874</v>
      </c>
      <c r="H169" s="33">
        <v>32874</v>
      </c>
      <c r="I169" s="1"/>
      <c r="J169" s="1"/>
      <c r="K169" s="1"/>
      <c r="L169" s="1"/>
      <c r="M169" s="1"/>
      <c r="P169" s="3"/>
      <c r="R169" s="1"/>
      <c r="S169" s="1"/>
    </row>
    <row r="170" spans="1:19" ht="14.7" x14ac:dyDescent="0.65">
      <c r="A170" s="34">
        <v>169</v>
      </c>
      <c r="B170" s="3" t="s">
        <v>563</v>
      </c>
      <c r="C170" s="1" t="s">
        <v>564</v>
      </c>
      <c r="D170" s="1">
        <v>16</v>
      </c>
      <c r="E170" t="s">
        <v>565</v>
      </c>
      <c r="F170" s="3">
        <v>1</v>
      </c>
      <c r="G170" s="33">
        <v>32874</v>
      </c>
      <c r="H170" s="33">
        <v>32874</v>
      </c>
      <c r="I170" s="1"/>
      <c r="J170" s="1"/>
      <c r="K170" s="1"/>
      <c r="L170" s="1"/>
      <c r="M170" s="1"/>
      <c r="P170" s="3"/>
      <c r="R170" s="1"/>
      <c r="S170" s="1"/>
    </row>
    <row r="171" spans="1:19" ht="14.7" x14ac:dyDescent="0.65">
      <c r="A171" s="34">
        <v>170</v>
      </c>
      <c r="B171" s="3" t="s">
        <v>566</v>
      </c>
      <c r="C171" s="1" t="s">
        <v>567</v>
      </c>
      <c r="D171" s="1">
        <v>16</v>
      </c>
      <c r="E171" t="s">
        <v>568</v>
      </c>
      <c r="F171" s="3">
        <v>1</v>
      </c>
      <c r="G171" s="33">
        <v>32874</v>
      </c>
      <c r="H171" s="33">
        <v>32874</v>
      </c>
      <c r="I171" s="1"/>
      <c r="J171" s="1"/>
      <c r="K171" s="1"/>
      <c r="L171" s="1"/>
      <c r="M171" s="1"/>
      <c r="P171" s="3"/>
      <c r="R171" s="1"/>
      <c r="S171" s="1"/>
    </row>
    <row r="172" spans="1:19" ht="14.7" x14ac:dyDescent="0.65">
      <c r="A172" s="34">
        <v>171</v>
      </c>
      <c r="B172" s="3" t="s">
        <v>569</v>
      </c>
      <c r="C172" s="1" t="s">
        <v>570</v>
      </c>
      <c r="D172" s="1">
        <v>16</v>
      </c>
      <c r="E172" t="s">
        <v>571</v>
      </c>
      <c r="F172" s="3">
        <v>1</v>
      </c>
      <c r="G172" s="33">
        <v>32874</v>
      </c>
      <c r="H172" s="33">
        <v>32874</v>
      </c>
      <c r="I172" s="1"/>
      <c r="J172" s="1"/>
      <c r="K172" s="1"/>
      <c r="L172" s="1"/>
      <c r="M172" s="1"/>
      <c r="P172" s="3"/>
      <c r="R172" s="1"/>
      <c r="S172" s="1"/>
    </row>
    <row r="173" spans="1:19" ht="14.7" x14ac:dyDescent="0.65">
      <c r="A173" s="34">
        <v>172</v>
      </c>
      <c r="B173" s="3" t="s">
        <v>572</v>
      </c>
      <c r="C173" s="1" t="s">
        <v>573</v>
      </c>
      <c r="D173" s="1">
        <v>16</v>
      </c>
      <c r="E173" t="s">
        <v>574</v>
      </c>
      <c r="F173" s="3">
        <v>1</v>
      </c>
      <c r="G173" s="33">
        <v>32874</v>
      </c>
      <c r="H173" s="33">
        <v>32874</v>
      </c>
      <c r="I173" s="1"/>
      <c r="J173" s="1"/>
      <c r="K173" s="1"/>
      <c r="L173" s="1"/>
      <c r="M173" s="1"/>
      <c r="P173" s="3"/>
      <c r="R173" s="1"/>
      <c r="S173" s="1"/>
    </row>
    <row r="174" spans="1:19" ht="14.7" x14ac:dyDescent="0.65">
      <c r="A174" s="34">
        <v>173</v>
      </c>
      <c r="B174" s="3" t="s">
        <v>575</v>
      </c>
      <c r="C174" s="1" t="s">
        <v>576</v>
      </c>
      <c r="D174" s="1">
        <v>16</v>
      </c>
      <c r="E174" t="s">
        <v>577</v>
      </c>
      <c r="F174" s="3">
        <v>1</v>
      </c>
      <c r="G174" s="33">
        <v>32874</v>
      </c>
      <c r="H174" s="33">
        <v>32874</v>
      </c>
      <c r="I174" s="1"/>
      <c r="J174" s="1"/>
      <c r="K174" s="1"/>
      <c r="L174" s="1"/>
      <c r="M174" s="1"/>
      <c r="P174" s="3"/>
      <c r="R174" s="1"/>
      <c r="S174" s="1"/>
    </row>
    <row r="175" spans="1:19" ht="14.7" x14ac:dyDescent="0.65">
      <c r="A175" s="34">
        <v>174</v>
      </c>
      <c r="B175" s="3" t="s">
        <v>578</v>
      </c>
      <c r="C175" s="1" t="s">
        <v>579</v>
      </c>
      <c r="D175" s="1">
        <v>16</v>
      </c>
      <c r="E175" t="s">
        <v>580</v>
      </c>
      <c r="F175" s="3">
        <v>1</v>
      </c>
      <c r="G175" s="33">
        <v>32874</v>
      </c>
      <c r="H175" s="33">
        <v>32874</v>
      </c>
      <c r="I175" s="1"/>
      <c r="J175" s="1"/>
      <c r="K175" s="1"/>
      <c r="L175" s="1"/>
      <c r="M175" s="1"/>
      <c r="P175" s="3"/>
      <c r="R175" s="1"/>
      <c r="S175" s="1"/>
    </row>
    <row r="176" spans="1:19" ht="14.7" x14ac:dyDescent="0.65">
      <c r="A176" s="34">
        <v>175</v>
      </c>
      <c r="B176" s="3" t="s">
        <v>581</v>
      </c>
      <c r="C176" s="1" t="s">
        <v>582</v>
      </c>
      <c r="D176" s="1">
        <v>16</v>
      </c>
      <c r="E176" t="s">
        <v>583</v>
      </c>
      <c r="F176" s="3">
        <v>1</v>
      </c>
      <c r="G176" s="33">
        <v>32874</v>
      </c>
      <c r="H176" s="33">
        <v>32874</v>
      </c>
      <c r="I176" s="1"/>
      <c r="J176" s="1"/>
      <c r="K176" s="1"/>
      <c r="L176" s="1"/>
      <c r="M176" s="1"/>
      <c r="P176" s="3"/>
      <c r="R176" s="1"/>
      <c r="S176" s="1"/>
    </row>
    <row r="177" spans="1:19" ht="14.7" x14ac:dyDescent="0.65">
      <c r="A177" s="34">
        <v>176</v>
      </c>
      <c r="B177" s="3" t="s">
        <v>584</v>
      </c>
      <c r="C177" s="1" t="s">
        <v>585</v>
      </c>
      <c r="D177" s="1">
        <v>16</v>
      </c>
      <c r="E177" t="s">
        <v>586</v>
      </c>
      <c r="F177" s="3">
        <v>1</v>
      </c>
      <c r="G177" s="33">
        <v>32874</v>
      </c>
      <c r="H177" s="33">
        <v>32874</v>
      </c>
      <c r="I177" s="1"/>
      <c r="J177" s="1"/>
      <c r="K177" s="1"/>
      <c r="L177" s="1"/>
      <c r="M177" s="1"/>
      <c r="P177" s="3"/>
      <c r="R177" s="1"/>
      <c r="S177" s="1"/>
    </row>
    <row r="178" spans="1:19" ht="14.7" x14ac:dyDescent="0.65">
      <c r="A178" s="34">
        <v>177</v>
      </c>
      <c r="B178" s="3" t="s">
        <v>587</v>
      </c>
      <c r="C178" s="1" t="s">
        <v>588</v>
      </c>
      <c r="D178" s="1">
        <v>16</v>
      </c>
      <c r="E178" t="s">
        <v>589</v>
      </c>
      <c r="F178" s="3">
        <v>1</v>
      </c>
      <c r="G178" s="33">
        <v>32874</v>
      </c>
      <c r="H178" s="33">
        <v>32874</v>
      </c>
      <c r="I178" s="1"/>
      <c r="J178" s="1"/>
      <c r="K178" s="1"/>
      <c r="L178" s="1"/>
      <c r="M178" s="1"/>
      <c r="P178" s="3"/>
      <c r="R178" s="1"/>
      <c r="S178" s="1"/>
    </row>
    <row r="179" spans="1:19" ht="14.7" x14ac:dyDescent="0.65">
      <c r="A179" s="34">
        <v>178</v>
      </c>
      <c r="B179" s="3" t="s">
        <v>590</v>
      </c>
      <c r="C179" s="1" t="s">
        <v>591</v>
      </c>
      <c r="D179" s="1">
        <v>16</v>
      </c>
      <c r="E179" t="s">
        <v>592</v>
      </c>
      <c r="F179" s="3">
        <v>1</v>
      </c>
      <c r="G179" s="33">
        <v>32874</v>
      </c>
      <c r="H179" s="33">
        <v>32874</v>
      </c>
      <c r="I179" s="1"/>
      <c r="J179" s="1"/>
      <c r="K179" s="1"/>
      <c r="L179" s="1"/>
      <c r="M179" s="1"/>
      <c r="P179" s="3"/>
      <c r="R179" s="1"/>
      <c r="S179" s="1"/>
    </row>
    <row r="180" spans="1:19" ht="14.7" x14ac:dyDescent="0.65">
      <c r="A180" s="34">
        <v>179</v>
      </c>
      <c r="B180" s="3" t="s">
        <v>593</v>
      </c>
      <c r="C180" s="1" t="s">
        <v>594</v>
      </c>
      <c r="D180" s="1">
        <v>17</v>
      </c>
      <c r="E180" t="s">
        <v>595</v>
      </c>
      <c r="F180" s="3">
        <v>1</v>
      </c>
      <c r="G180" s="33">
        <v>32874</v>
      </c>
      <c r="H180" s="33">
        <v>32874</v>
      </c>
      <c r="I180" s="1"/>
      <c r="J180" s="1"/>
      <c r="K180" s="1"/>
      <c r="L180" s="1"/>
      <c r="M180" s="1"/>
      <c r="P180" s="3"/>
      <c r="R180" s="1"/>
      <c r="S180" s="1"/>
    </row>
    <row r="181" spans="1:19" ht="14.7" x14ac:dyDescent="0.65">
      <c r="A181" s="34">
        <v>180</v>
      </c>
      <c r="B181" s="3" t="s">
        <v>597</v>
      </c>
      <c r="C181" s="1" t="s">
        <v>598</v>
      </c>
      <c r="D181" s="1">
        <v>17</v>
      </c>
      <c r="E181" t="s">
        <v>599</v>
      </c>
      <c r="F181" s="3">
        <v>1</v>
      </c>
      <c r="G181" s="33">
        <v>32874</v>
      </c>
      <c r="H181" s="33">
        <v>32874</v>
      </c>
      <c r="I181" s="1"/>
      <c r="J181" s="1"/>
      <c r="K181" s="1"/>
      <c r="L181" s="1"/>
      <c r="M181" s="1"/>
      <c r="P181" s="3"/>
      <c r="R181" s="1"/>
      <c r="S181" s="1"/>
    </row>
    <row r="182" spans="1:19" ht="14.7" x14ac:dyDescent="0.65">
      <c r="A182" s="34">
        <v>181</v>
      </c>
      <c r="B182" s="3" t="s">
        <v>600</v>
      </c>
      <c r="C182" s="1" t="s">
        <v>601</v>
      </c>
      <c r="D182" s="1">
        <v>17</v>
      </c>
      <c r="E182" t="s">
        <v>602</v>
      </c>
      <c r="F182" s="3">
        <v>1</v>
      </c>
      <c r="G182" s="33">
        <v>32874</v>
      </c>
      <c r="H182" s="33">
        <v>32874</v>
      </c>
      <c r="I182" s="1"/>
      <c r="J182" s="1"/>
      <c r="K182" s="1"/>
      <c r="L182" s="1"/>
      <c r="M182" s="1"/>
      <c r="P182" s="3"/>
      <c r="R182" s="1"/>
      <c r="S182" s="1"/>
    </row>
    <row r="183" spans="1:19" ht="14.7" x14ac:dyDescent="0.65">
      <c r="A183" s="34">
        <v>182</v>
      </c>
      <c r="B183" s="3" t="s">
        <v>603</v>
      </c>
      <c r="C183" s="1" t="s">
        <v>604</v>
      </c>
      <c r="D183" s="1">
        <v>17</v>
      </c>
      <c r="E183" t="s">
        <v>605</v>
      </c>
      <c r="F183" s="3">
        <v>1</v>
      </c>
      <c r="G183" s="33">
        <v>32874</v>
      </c>
      <c r="H183" s="33">
        <v>32874</v>
      </c>
      <c r="I183" s="1"/>
      <c r="J183" s="1"/>
      <c r="K183" s="1"/>
      <c r="L183" s="1"/>
      <c r="M183" s="1"/>
      <c r="P183" s="3"/>
      <c r="R183" s="1"/>
      <c r="S183" s="1"/>
    </row>
    <row r="184" spans="1:19" ht="14.7" x14ac:dyDescent="0.65">
      <c r="A184" s="34">
        <v>183</v>
      </c>
      <c r="B184" s="3" t="s">
        <v>606</v>
      </c>
      <c r="C184" s="1" t="s">
        <v>607</v>
      </c>
      <c r="D184" s="1">
        <v>17</v>
      </c>
      <c r="E184" t="s">
        <v>608</v>
      </c>
      <c r="F184" s="3">
        <v>1</v>
      </c>
      <c r="G184" s="33">
        <v>32874</v>
      </c>
      <c r="H184" s="33">
        <v>32874</v>
      </c>
      <c r="I184" s="1"/>
      <c r="J184" s="1"/>
      <c r="K184" s="1"/>
      <c r="L184" s="1"/>
      <c r="M184" s="1"/>
      <c r="P184" s="3"/>
      <c r="R184" s="1"/>
      <c r="S184" s="1"/>
    </row>
    <row r="185" spans="1:19" ht="14.7" x14ac:dyDescent="0.65">
      <c r="A185" s="34">
        <v>184</v>
      </c>
      <c r="B185" s="3" t="s">
        <v>609</v>
      </c>
      <c r="C185" s="1" t="s">
        <v>610</v>
      </c>
      <c r="D185" s="1">
        <v>17</v>
      </c>
      <c r="E185" t="s">
        <v>611</v>
      </c>
      <c r="F185" s="3">
        <v>1</v>
      </c>
      <c r="G185" s="33">
        <v>32874</v>
      </c>
      <c r="H185" s="33">
        <v>32874</v>
      </c>
      <c r="I185" s="1"/>
      <c r="J185" s="1"/>
      <c r="K185" s="1"/>
      <c r="L185" s="1"/>
      <c r="M185" s="1"/>
      <c r="P185" s="3"/>
      <c r="R185" s="1"/>
      <c r="S185" s="1"/>
    </row>
    <row r="186" spans="1:19" ht="14.7" x14ac:dyDescent="0.65">
      <c r="A186" s="34">
        <v>185</v>
      </c>
      <c r="B186" s="3" t="s">
        <v>612</v>
      </c>
      <c r="C186" s="1" t="s">
        <v>613</v>
      </c>
      <c r="D186" s="1">
        <v>17</v>
      </c>
      <c r="E186" t="s">
        <v>614</v>
      </c>
      <c r="F186" s="3">
        <v>1</v>
      </c>
      <c r="G186" s="33">
        <v>32874</v>
      </c>
      <c r="H186" s="33">
        <v>32874</v>
      </c>
      <c r="I186" s="1"/>
      <c r="J186" s="1"/>
      <c r="K186" s="1"/>
      <c r="L186" s="1"/>
      <c r="M186" s="1"/>
      <c r="P186" s="3"/>
      <c r="R186" s="1"/>
      <c r="S186" s="1"/>
    </row>
    <row r="187" spans="1:19" ht="14.7" x14ac:dyDescent="0.65">
      <c r="A187" s="34">
        <v>186</v>
      </c>
      <c r="B187" s="3" t="s">
        <v>615</v>
      </c>
      <c r="C187" s="1" t="s">
        <v>616</v>
      </c>
      <c r="D187" s="1">
        <v>17</v>
      </c>
      <c r="E187" t="s">
        <v>617</v>
      </c>
      <c r="F187" s="3">
        <v>1</v>
      </c>
      <c r="G187" s="33">
        <v>32874</v>
      </c>
      <c r="H187" s="33">
        <v>32874</v>
      </c>
      <c r="I187" s="1"/>
      <c r="J187" s="1"/>
      <c r="K187" s="1"/>
      <c r="L187" s="1"/>
      <c r="M187" s="1"/>
      <c r="P187" s="3"/>
      <c r="R187" s="1"/>
      <c r="S187" s="1"/>
    </row>
    <row r="188" spans="1:19" ht="14.7" x14ac:dyDescent="0.65">
      <c r="A188" s="34">
        <v>187</v>
      </c>
      <c r="B188" s="3" t="s">
        <v>618</v>
      </c>
      <c r="C188" s="1" t="s">
        <v>619</v>
      </c>
      <c r="D188" s="1">
        <v>17</v>
      </c>
      <c r="E188" t="s">
        <v>620</v>
      </c>
      <c r="F188" s="3">
        <v>1</v>
      </c>
      <c r="G188" s="33">
        <v>32874</v>
      </c>
      <c r="H188" s="33">
        <v>32874</v>
      </c>
      <c r="I188" s="1"/>
      <c r="J188" s="1"/>
      <c r="K188" s="1"/>
      <c r="L188" s="1"/>
      <c r="M188" s="1"/>
      <c r="P188" s="3"/>
      <c r="R188" s="1"/>
      <c r="S188" s="1"/>
    </row>
    <row r="189" spans="1:19" ht="14.7" x14ac:dyDescent="0.65">
      <c r="A189" s="34">
        <v>188</v>
      </c>
      <c r="B189" s="3" t="s">
        <v>621</v>
      </c>
      <c r="C189" s="1" t="s">
        <v>622</v>
      </c>
      <c r="D189" s="1">
        <v>17</v>
      </c>
      <c r="E189" t="s">
        <v>623</v>
      </c>
      <c r="F189" s="3">
        <v>1</v>
      </c>
      <c r="G189" s="33">
        <v>32874</v>
      </c>
      <c r="H189" s="33">
        <v>32874</v>
      </c>
      <c r="I189" s="1"/>
      <c r="J189" s="1"/>
      <c r="K189" s="1"/>
      <c r="L189" s="1"/>
      <c r="M189" s="1"/>
      <c r="P189" s="3"/>
      <c r="R189" s="1"/>
      <c r="S189" s="1"/>
    </row>
    <row r="190" spans="1:19" ht="14.7" x14ac:dyDescent="0.65">
      <c r="A190" s="34">
        <v>189</v>
      </c>
      <c r="B190" s="3" t="s">
        <v>624</v>
      </c>
      <c r="C190" s="1" t="s">
        <v>625</v>
      </c>
      <c r="D190" s="1">
        <v>17</v>
      </c>
      <c r="E190" t="s">
        <v>626</v>
      </c>
      <c r="F190" s="3">
        <v>1</v>
      </c>
      <c r="G190" s="33">
        <v>32874</v>
      </c>
      <c r="H190" s="33">
        <v>32874</v>
      </c>
      <c r="I190" s="1"/>
      <c r="J190" s="1"/>
      <c r="K190" s="1"/>
      <c r="L190" s="1"/>
      <c r="M190" s="1"/>
      <c r="P190" s="3"/>
      <c r="R190" s="1"/>
      <c r="S190" s="1"/>
    </row>
    <row r="191" spans="1:19" ht="14.7" x14ac:dyDescent="0.65">
      <c r="A191" s="34">
        <v>190</v>
      </c>
      <c r="B191" s="3" t="s">
        <v>627</v>
      </c>
      <c r="C191" s="1" t="s">
        <v>628</v>
      </c>
      <c r="D191" s="1">
        <v>17</v>
      </c>
      <c r="E191" t="s">
        <v>629</v>
      </c>
      <c r="F191" s="3">
        <v>1</v>
      </c>
      <c r="G191" s="33">
        <v>32874</v>
      </c>
      <c r="H191" s="33">
        <v>32874</v>
      </c>
      <c r="I191" s="1"/>
      <c r="J191" s="1"/>
      <c r="K191" s="1"/>
      <c r="L191" s="1"/>
      <c r="M191" s="1"/>
      <c r="P191" s="3"/>
      <c r="R191" s="1"/>
      <c r="S191" s="1"/>
    </row>
    <row r="192" spans="1:19" ht="14.7" x14ac:dyDescent="0.65">
      <c r="A192" s="34">
        <v>191</v>
      </c>
      <c r="B192" s="3" t="s">
        <v>630</v>
      </c>
      <c r="C192" s="1" t="s">
        <v>631</v>
      </c>
      <c r="D192" s="1">
        <v>17</v>
      </c>
      <c r="E192" t="s">
        <v>632</v>
      </c>
      <c r="F192" s="3">
        <v>1</v>
      </c>
      <c r="G192" s="33">
        <v>32874</v>
      </c>
      <c r="H192" s="33">
        <v>32874</v>
      </c>
      <c r="I192" s="1"/>
      <c r="J192" s="1"/>
      <c r="K192" s="1"/>
      <c r="L192" s="1"/>
      <c r="M192" s="1"/>
      <c r="P192" s="3"/>
      <c r="R192" s="1"/>
      <c r="S192" s="1"/>
    </row>
    <row r="193" spans="1:19" ht="14.7" x14ac:dyDescent="0.65">
      <c r="A193" s="34">
        <v>192</v>
      </c>
      <c r="B193" s="3" t="s">
        <v>633</v>
      </c>
      <c r="C193" s="1" t="s">
        <v>634</v>
      </c>
      <c r="D193" s="1">
        <v>17</v>
      </c>
      <c r="E193" t="s">
        <v>635</v>
      </c>
      <c r="F193" s="3">
        <v>1</v>
      </c>
      <c r="G193" s="33">
        <v>32874</v>
      </c>
      <c r="H193" s="33">
        <v>32874</v>
      </c>
      <c r="I193" s="1"/>
      <c r="J193" s="1"/>
      <c r="K193" s="1"/>
      <c r="L193" s="1"/>
      <c r="M193" s="1"/>
      <c r="P193" s="3"/>
      <c r="R193" s="1"/>
      <c r="S193" s="1"/>
    </row>
    <row r="194" spans="1:19" ht="14.7" x14ac:dyDescent="0.65">
      <c r="A194" s="34">
        <v>193</v>
      </c>
      <c r="B194" s="3" t="s">
        <v>636</v>
      </c>
      <c r="C194" s="1" t="s">
        <v>637</v>
      </c>
      <c r="D194" s="1">
        <v>17</v>
      </c>
      <c r="E194" t="s">
        <v>638</v>
      </c>
      <c r="F194" s="3">
        <v>1</v>
      </c>
      <c r="G194" s="33">
        <v>32874</v>
      </c>
      <c r="H194" s="33">
        <v>32874</v>
      </c>
      <c r="I194" s="1"/>
      <c r="J194" s="1"/>
      <c r="K194" s="1"/>
      <c r="L194" s="1"/>
      <c r="M194" s="1"/>
      <c r="P194" s="3"/>
      <c r="R194" s="1"/>
      <c r="S194" s="1"/>
    </row>
    <row r="195" spans="1:19" ht="14.7" x14ac:dyDescent="0.65">
      <c r="A195" s="34">
        <v>194</v>
      </c>
      <c r="B195" s="3" t="s">
        <v>639</v>
      </c>
      <c r="C195" s="1" t="s">
        <v>640</v>
      </c>
      <c r="D195" s="1">
        <v>17</v>
      </c>
      <c r="E195" t="s">
        <v>641</v>
      </c>
      <c r="F195" s="3">
        <v>1</v>
      </c>
      <c r="G195" s="33">
        <v>32874</v>
      </c>
      <c r="H195" s="33">
        <v>32874</v>
      </c>
      <c r="I195" s="1"/>
      <c r="J195" s="1"/>
      <c r="K195" s="1"/>
      <c r="L195" s="1"/>
      <c r="M195" s="1"/>
      <c r="P195" s="3"/>
      <c r="R195" s="1"/>
      <c r="S195" s="1"/>
    </row>
    <row r="196" spans="1:19" ht="14.7" x14ac:dyDescent="0.65">
      <c r="A196" s="34">
        <v>195</v>
      </c>
      <c r="B196" s="3" t="s">
        <v>642</v>
      </c>
      <c r="C196" s="1" t="s">
        <v>643</v>
      </c>
      <c r="D196" s="1">
        <v>17</v>
      </c>
      <c r="E196" t="s">
        <v>644</v>
      </c>
      <c r="F196" s="3">
        <v>1</v>
      </c>
      <c r="G196" s="33">
        <v>32874</v>
      </c>
      <c r="H196" s="33">
        <v>32874</v>
      </c>
      <c r="I196" s="1"/>
      <c r="J196" s="1"/>
      <c r="K196" s="1"/>
      <c r="L196" s="1"/>
      <c r="M196" s="1"/>
      <c r="P196" s="3"/>
      <c r="R196" s="1"/>
      <c r="S196" s="1"/>
    </row>
    <row r="197" spans="1:19" ht="14.7" x14ac:dyDescent="0.65">
      <c r="A197" s="34">
        <v>196</v>
      </c>
      <c r="B197" s="3" t="s">
        <v>645</v>
      </c>
      <c r="C197" s="1" t="s">
        <v>646</v>
      </c>
      <c r="D197" s="1">
        <v>17</v>
      </c>
      <c r="E197" t="s">
        <v>647</v>
      </c>
      <c r="F197" s="3">
        <v>1</v>
      </c>
      <c r="G197" s="33">
        <v>32874</v>
      </c>
      <c r="H197" s="33">
        <v>32874</v>
      </c>
      <c r="I197" s="1"/>
      <c r="J197" s="1"/>
      <c r="K197" s="1"/>
      <c r="L197" s="1"/>
      <c r="M197" s="1"/>
      <c r="P197" s="3"/>
      <c r="R197" s="1"/>
      <c r="S197" s="1"/>
    </row>
    <row r="198" spans="1:19" ht="14.7" x14ac:dyDescent="0.65">
      <c r="A198" s="34">
        <v>197</v>
      </c>
      <c r="B198" s="3" t="s">
        <v>648</v>
      </c>
      <c r="C198" s="1" t="s">
        <v>649</v>
      </c>
      <c r="D198" s="1">
        <v>17</v>
      </c>
      <c r="E198" t="s">
        <v>650</v>
      </c>
      <c r="F198" s="3">
        <v>1</v>
      </c>
      <c r="G198" s="33">
        <v>32874</v>
      </c>
      <c r="H198" s="33">
        <v>32874</v>
      </c>
      <c r="I198" s="1"/>
      <c r="J198" s="1"/>
      <c r="K198" s="1"/>
      <c r="L198" s="1"/>
      <c r="M198" s="1"/>
      <c r="P198" s="3"/>
      <c r="R198" s="1"/>
      <c r="S198" s="1"/>
    </row>
    <row r="199" spans="1:19" ht="14.7" x14ac:dyDescent="0.65">
      <c r="A199" s="34">
        <v>198</v>
      </c>
      <c r="B199" s="3" t="s">
        <v>651</v>
      </c>
      <c r="C199" s="1" t="s">
        <v>652</v>
      </c>
      <c r="D199" s="1">
        <v>17</v>
      </c>
      <c r="E199" t="s">
        <v>653</v>
      </c>
      <c r="F199" s="3">
        <v>1</v>
      </c>
      <c r="G199" s="33">
        <v>32874</v>
      </c>
      <c r="H199" s="33">
        <v>32874</v>
      </c>
      <c r="I199" s="1"/>
      <c r="J199" s="1"/>
      <c r="K199" s="1"/>
      <c r="L199" s="1"/>
      <c r="M199" s="1"/>
      <c r="P199" s="3"/>
      <c r="R199" s="1"/>
      <c r="S199" s="1"/>
    </row>
    <row r="200" spans="1:19" ht="14.7" x14ac:dyDescent="0.65">
      <c r="A200" s="34">
        <v>199</v>
      </c>
      <c r="B200" s="3" t="s">
        <v>654</v>
      </c>
      <c r="C200" s="1" t="s">
        <v>655</v>
      </c>
      <c r="D200" s="1">
        <v>17</v>
      </c>
      <c r="E200" t="s">
        <v>656</v>
      </c>
      <c r="F200" s="3">
        <v>1</v>
      </c>
      <c r="G200" s="33">
        <v>32874</v>
      </c>
      <c r="H200" s="33">
        <v>32874</v>
      </c>
      <c r="I200" s="1"/>
      <c r="J200" s="1"/>
      <c r="K200" s="1"/>
      <c r="L200" s="1"/>
      <c r="M200" s="1"/>
      <c r="P200" s="3"/>
      <c r="R200" s="1"/>
      <c r="S200" s="1"/>
    </row>
    <row r="201" spans="1:19" ht="14.7" x14ac:dyDescent="0.65">
      <c r="A201" s="34">
        <v>200</v>
      </c>
      <c r="B201" s="3" t="s">
        <v>657</v>
      </c>
      <c r="C201" s="1" t="s">
        <v>658</v>
      </c>
      <c r="D201" s="1">
        <v>17</v>
      </c>
      <c r="E201" t="s">
        <v>659</v>
      </c>
      <c r="F201" s="3">
        <v>1</v>
      </c>
      <c r="G201" s="33">
        <v>32874</v>
      </c>
      <c r="H201" s="33">
        <v>32874</v>
      </c>
      <c r="I201" s="1"/>
      <c r="J201" s="1"/>
      <c r="K201" s="1"/>
      <c r="L201" s="1"/>
      <c r="M201" s="1"/>
      <c r="P201" s="3"/>
      <c r="R201" s="1"/>
      <c r="S201" s="1"/>
    </row>
    <row r="202" spans="1:19" ht="14.7" x14ac:dyDescent="0.65">
      <c r="A202" s="34">
        <v>201</v>
      </c>
      <c r="B202" s="3" t="s">
        <v>660</v>
      </c>
      <c r="C202" s="1" t="s">
        <v>661</v>
      </c>
      <c r="D202" s="1">
        <v>17</v>
      </c>
      <c r="E202" t="s">
        <v>662</v>
      </c>
      <c r="F202" s="3">
        <v>1</v>
      </c>
      <c r="G202" s="33">
        <v>32874</v>
      </c>
      <c r="H202" s="33">
        <v>32874</v>
      </c>
      <c r="I202" s="1"/>
      <c r="J202" s="1"/>
      <c r="K202" s="1"/>
      <c r="L202" s="1"/>
      <c r="M202" s="1"/>
      <c r="P202" s="3"/>
      <c r="R202" s="1"/>
      <c r="S202" s="1"/>
    </row>
    <row r="203" spans="1:19" ht="14.7" x14ac:dyDescent="0.65">
      <c r="A203" s="34">
        <v>202</v>
      </c>
      <c r="B203" s="3" t="s">
        <v>663</v>
      </c>
      <c r="C203" s="1" t="s">
        <v>664</v>
      </c>
      <c r="D203" s="1">
        <v>17</v>
      </c>
      <c r="E203" t="s">
        <v>665</v>
      </c>
      <c r="F203" s="3">
        <v>1</v>
      </c>
      <c r="G203" s="33">
        <v>32874</v>
      </c>
      <c r="H203" s="33">
        <v>32874</v>
      </c>
      <c r="I203" s="1"/>
      <c r="J203" s="1"/>
      <c r="K203" s="1"/>
      <c r="L203" s="1"/>
      <c r="M203" s="1"/>
      <c r="P203" s="3"/>
      <c r="R203" s="1"/>
      <c r="S203" s="1"/>
    </row>
    <row r="204" spans="1:19" ht="14.7" x14ac:dyDescent="0.65">
      <c r="A204" s="34">
        <v>203</v>
      </c>
      <c r="B204" s="3" t="s">
        <v>666</v>
      </c>
      <c r="C204" s="1" t="s">
        <v>667</v>
      </c>
      <c r="D204" s="1">
        <v>17</v>
      </c>
      <c r="E204" t="s">
        <v>668</v>
      </c>
      <c r="F204" s="3">
        <v>1</v>
      </c>
      <c r="G204" s="33">
        <v>32874</v>
      </c>
      <c r="H204" s="33">
        <v>32874</v>
      </c>
      <c r="I204" s="1"/>
      <c r="J204" s="1"/>
      <c r="K204" s="1"/>
      <c r="L204" s="1"/>
      <c r="M204" s="1"/>
      <c r="P204" s="3"/>
      <c r="R204" s="1"/>
      <c r="S204" s="1"/>
    </row>
    <row r="205" spans="1:19" ht="14.7" x14ac:dyDescent="0.65">
      <c r="A205" s="34">
        <v>204</v>
      </c>
      <c r="B205" s="3" t="s">
        <v>669</v>
      </c>
      <c r="C205" s="1" t="s">
        <v>670</v>
      </c>
      <c r="D205" s="1">
        <v>17</v>
      </c>
      <c r="E205" t="s">
        <v>671</v>
      </c>
      <c r="F205" s="3">
        <v>1</v>
      </c>
      <c r="G205" s="33">
        <v>32874</v>
      </c>
      <c r="H205" s="33">
        <v>32874</v>
      </c>
      <c r="I205" s="1"/>
      <c r="J205" s="1"/>
      <c r="K205" s="1"/>
      <c r="L205" s="1"/>
      <c r="M205" s="1"/>
      <c r="P205" s="3"/>
      <c r="R205" s="1"/>
      <c r="S205" s="1"/>
    </row>
    <row r="206" spans="1:19" ht="14.7" x14ac:dyDescent="0.65">
      <c r="A206" s="34">
        <v>205</v>
      </c>
      <c r="B206" s="3" t="s">
        <v>672</v>
      </c>
      <c r="C206" s="1" t="s">
        <v>673</v>
      </c>
      <c r="D206" s="1">
        <v>17</v>
      </c>
      <c r="E206" t="s">
        <v>674</v>
      </c>
      <c r="F206" s="3">
        <v>1</v>
      </c>
      <c r="G206" s="33">
        <v>32874</v>
      </c>
      <c r="H206" s="33">
        <v>32874</v>
      </c>
      <c r="I206" s="1"/>
      <c r="J206" s="1"/>
      <c r="K206" s="1"/>
      <c r="L206" s="1"/>
      <c r="M206" s="1"/>
      <c r="P206" s="3"/>
      <c r="R206" s="1"/>
      <c r="S206" s="1"/>
    </row>
    <row r="207" spans="1:19" ht="14.7" x14ac:dyDescent="0.65">
      <c r="A207" s="34">
        <v>206</v>
      </c>
      <c r="B207" s="3" t="s">
        <v>675</v>
      </c>
      <c r="C207" s="1" t="s">
        <v>676</v>
      </c>
      <c r="D207" s="1">
        <v>17</v>
      </c>
      <c r="E207" t="s">
        <v>677</v>
      </c>
      <c r="F207" s="3">
        <v>1</v>
      </c>
      <c r="G207" s="33">
        <v>32874</v>
      </c>
      <c r="H207" s="33">
        <v>32874</v>
      </c>
      <c r="I207" s="1"/>
      <c r="J207" s="1"/>
      <c r="K207" s="1"/>
      <c r="L207" s="1"/>
      <c r="M207" s="1"/>
      <c r="P207" s="3"/>
      <c r="R207" s="1"/>
      <c r="S207" s="1"/>
    </row>
    <row r="208" spans="1:19" ht="14.7" x14ac:dyDescent="0.65">
      <c r="A208" s="34">
        <v>207</v>
      </c>
      <c r="B208" s="3" t="s">
        <v>678</v>
      </c>
      <c r="C208" s="1" t="s">
        <v>679</v>
      </c>
      <c r="D208" s="1">
        <v>17</v>
      </c>
      <c r="E208" t="s">
        <v>680</v>
      </c>
      <c r="F208" s="3">
        <v>1</v>
      </c>
      <c r="G208" s="33">
        <v>32874</v>
      </c>
      <c r="H208" s="33">
        <v>32874</v>
      </c>
      <c r="I208" s="1"/>
      <c r="J208" s="1"/>
      <c r="K208" s="1"/>
      <c r="L208" s="1"/>
      <c r="M208" s="1"/>
      <c r="P208" s="3"/>
      <c r="R208" s="1"/>
      <c r="S208" s="1"/>
    </row>
    <row r="209" spans="1:19" ht="14.7" x14ac:dyDescent="0.65">
      <c r="A209" s="34">
        <v>208</v>
      </c>
      <c r="B209" s="3" t="s">
        <v>681</v>
      </c>
      <c r="C209" s="1" t="s">
        <v>682</v>
      </c>
      <c r="D209" s="1">
        <v>17</v>
      </c>
      <c r="E209" t="s">
        <v>683</v>
      </c>
      <c r="F209" s="3">
        <v>1</v>
      </c>
      <c r="G209" s="33">
        <v>32874</v>
      </c>
      <c r="H209" s="33">
        <v>32874</v>
      </c>
      <c r="I209" s="1"/>
      <c r="J209" s="1"/>
      <c r="K209" s="1"/>
      <c r="L209" s="1"/>
      <c r="M209" s="1"/>
      <c r="P209" s="3"/>
      <c r="R209" s="1"/>
      <c r="S209" s="1"/>
    </row>
    <row r="210" spans="1:19" ht="14.7" x14ac:dyDescent="0.65">
      <c r="A210" s="34">
        <v>209</v>
      </c>
      <c r="B210" s="3" t="s">
        <v>684</v>
      </c>
      <c r="C210" s="1" t="s">
        <v>685</v>
      </c>
      <c r="D210" s="1">
        <v>17</v>
      </c>
      <c r="E210" t="s">
        <v>686</v>
      </c>
      <c r="F210" s="3">
        <v>1</v>
      </c>
      <c r="G210" s="33">
        <v>32874</v>
      </c>
      <c r="H210" s="33">
        <v>32874</v>
      </c>
      <c r="I210" s="1"/>
      <c r="J210" s="1"/>
      <c r="K210" s="1"/>
      <c r="L210" s="1"/>
      <c r="M210" s="1"/>
      <c r="P210" s="3"/>
      <c r="R210" s="1"/>
      <c r="S210" s="1"/>
    </row>
    <row r="211" spans="1:19" ht="14.7" x14ac:dyDescent="0.65">
      <c r="A211" s="34">
        <v>210</v>
      </c>
      <c r="B211" s="3" t="s">
        <v>687</v>
      </c>
      <c r="C211" s="1" t="s">
        <v>688</v>
      </c>
      <c r="D211" s="1">
        <v>17</v>
      </c>
      <c r="E211" t="s">
        <v>689</v>
      </c>
      <c r="F211" s="3">
        <v>1</v>
      </c>
      <c r="G211" s="33">
        <v>32874</v>
      </c>
      <c r="H211" s="33">
        <v>32874</v>
      </c>
      <c r="I211" s="1"/>
      <c r="J211" s="1"/>
      <c r="K211" s="1"/>
      <c r="L211" s="1"/>
      <c r="M211" s="1"/>
      <c r="P211" s="3"/>
      <c r="R211" s="1"/>
      <c r="S211" s="1"/>
    </row>
    <row r="212" spans="1:19" ht="14.7" x14ac:dyDescent="0.65">
      <c r="A212" s="34">
        <v>211</v>
      </c>
      <c r="B212" s="3" t="s">
        <v>690</v>
      </c>
      <c r="C212" s="1" t="s">
        <v>691</v>
      </c>
      <c r="D212" s="1">
        <v>17</v>
      </c>
      <c r="E212" t="s">
        <v>692</v>
      </c>
      <c r="F212" s="3">
        <v>1</v>
      </c>
      <c r="G212" s="33">
        <v>32874</v>
      </c>
      <c r="H212" s="33">
        <v>32874</v>
      </c>
      <c r="I212" s="1"/>
      <c r="J212" s="1"/>
      <c r="K212" s="1"/>
      <c r="L212" s="1"/>
      <c r="M212" s="1"/>
      <c r="P212" s="3"/>
      <c r="R212" s="1"/>
      <c r="S212" s="1"/>
    </row>
    <row r="213" spans="1:19" ht="14.7" x14ac:dyDescent="0.65">
      <c r="A213" s="34">
        <v>212</v>
      </c>
      <c r="B213" s="3" t="s">
        <v>693</v>
      </c>
      <c r="C213" s="1" t="s">
        <v>694</v>
      </c>
      <c r="D213" s="1">
        <v>17</v>
      </c>
      <c r="E213" t="s">
        <v>695</v>
      </c>
      <c r="F213" s="3">
        <v>1</v>
      </c>
      <c r="G213" s="33">
        <v>32874</v>
      </c>
      <c r="H213" s="33">
        <v>32874</v>
      </c>
      <c r="I213" s="1"/>
      <c r="J213" s="1"/>
      <c r="K213" s="1"/>
      <c r="L213" s="1"/>
      <c r="M213" s="1"/>
      <c r="P213" s="3"/>
      <c r="R213" s="1"/>
      <c r="S213" s="1"/>
    </row>
    <row r="214" spans="1:19" ht="14.7" x14ac:dyDescent="0.65">
      <c r="A214" s="34">
        <v>213</v>
      </c>
      <c r="B214" s="3" t="s">
        <v>696</v>
      </c>
      <c r="C214" s="1" t="s">
        <v>697</v>
      </c>
      <c r="D214" s="1">
        <v>17</v>
      </c>
      <c r="E214" t="s">
        <v>698</v>
      </c>
      <c r="F214" s="3">
        <v>1</v>
      </c>
      <c r="G214" s="33">
        <v>32874</v>
      </c>
      <c r="H214" s="33">
        <v>32874</v>
      </c>
      <c r="I214" s="1"/>
      <c r="J214" s="1"/>
      <c r="K214" s="1"/>
      <c r="L214" s="1"/>
      <c r="M214" s="1"/>
      <c r="P214" s="3"/>
      <c r="R214" s="1"/>
      <c r="S214" s="1"/>
    </row>
    <row r="215" spans="1:19" ht="14.7" x14ac:dyDescent="0.65">
      <c r="A215" s="34">
        <v>214</v>
      </c>
      <c r="B215" s="3" t="s">
        <v>699</v>
      </c>
      <c r="C215" s="1" t="s">
        <v>700</v>
      </c>
      <c r="D215" s="1">
        <v>17</v>
      </c>
      <c r="E215" t="s">
        <v>701</v>
      </c>
      <c r="F215" s="3">
        <v>1</v>
      </c>
      <c r="G215" s="33">
        <v>32874</v>
      </c>
      <c r="H215" s="33">
        <v>32874</v>
      </c>
      <c r="I215" s="1"/>
      <c r="J215" s="1"/>
      <c r="K215" s="1"/>
      <c r="L215" s="1"/>
      <c r="M215" s="1"/>
      <c r="P215" s="3"/>
      <c r="R215" s="1"/>
      <c r="S215" s="1"/>
    </row>
    <row r="216" spans="1:19" ht="14.7" x14ac:dyDescent="0.65">
      <c r="A216" s="34">
        <v>215</v>
      </c>
      <c r="B216" s="3" t="s">
        <v>702</v>
      </c>
      <c r="C216" s="1" t="s">
        <v>703</v>
      </c>
      <c r="D216" s="1">
        <v>17</v>
      </c>
      <c r="E216" t="s">
        <v>704</v>
      </c>
      <c r="F216" s="3">
        <v>1</v>
      </c>
      <c r="G216" s="33">
        <v>32874</v>
      </c>
      <c r="H216" s="33">
        <v>32874</v>
      </c>
      <c r="I216" s="1"/>
      <c r="J216" s="1"/>
      <c r="K216" s="1"/>
      <c r="L216" s="1"/>
      <c r="M216" s="1"/>
      <c r="P216" s="3"/>
      <c r="R216" s="1"/>
      <c r="S216" s="1"/>
    </row>
    <row r="217" spans="1:19" ht="14.7" x14ac:dyDescent="0.65">
      <c r="A217" s="34">
        <v>216</v>
      </c>
      <c r="B217" s="3" t="s">
        <v>705</v>
      </c>
      <c r="C217" s="1" t="s">
        <v>706</v>
      </c>
      <c r="D217" s="1">
        <v>17</v>
      </c>
      <c r="E217" t="s">
        <v>707</v>
      </c>
      <c r="F217" s="3">
        <v>1</v>
      </c>
      <c r="G217" s="33">
        <v>32874</v>
      </c>
      <c r="H217" s="33">
        <v>32874</v>
      </c>
      <c r="I217" s="1"/>
      <c r="J217" s="1"/>
      <c r="K217" s="1"/>
      <c r="L217" s="1"/>
      <c r="M217" s="1"/>
      <c r="P217" s="3"/>
      <c r="R217" s="1"/>
      <c r="S217" s="1"/>
    </row>
    <row r="218" spans="1:19" ht="14.7" x14ac:dyDescent="0.65">
      <c r="A218" s="34">
        <v>217</v>
      </c>
      <c r="B218" s="3" t="s">
        <v>708</v>
      </c>
      <c r="C218" s="1" t="s">
        <v>709</v>
      </c>
      <c r="D218" s="1">
        <v>17</v>
      </c>
      <c r="E218" t="s">
        <v>710</v>
      </c>
      <c r="F218" s="3">
        <v>1</v>
      </c>
      <c r="G218" s="33">
        <v>32874</v>
      </c>
      <c r="H218" s="33">
        <v>32874</v>
      </c>
      <c r="I218" s="1"/>
      <c r="J218" s="1"/>
      <c r="K218" s="1"/>
      <c r="L218" s="1"/>
      <c r="M218" s="1"/>
      <c r="P218" s="3"/>
      <c r="R218" s="1"/>
      <c r="S218" s="1"/>
    </row>
    <row r="219" spans="1:19" ht="14.7" x14ac:dyDescent="0.65">
      <c r="A219" s="34">
        <v>218</v>
      </c>
      <c r="B219" s="3" t="s">
        <v>711</v>
      </c>
      <c r="C219" s="1" t="s">
        <v>712</v>
      </c>
      <c r="D219" s="1">
        <v>17</v>
      </c>
      <c r="E219" t="s">
        <v>713</v>
      </c>
      <c r="F219" s="3">
        <v>1</v>
      </c>
      <c r="G219" s="33">
        <v>32874</v>
      </c>
      <c r="H219" s="33">
        <v>32874</v>
      </c>
      <c r="I219" s="1"/>
      <c r="J219" s="1"/>
      <c r="K219" s="1"/>
      <c r="L219" s="1"/>
      <c r="M219" s="1"/>
      <c r="P219" s="3"/>
      <c r="R219" s="1"/>
      <c r="S219" s="1"/>
    </row>
    <row r="220" spans="1:19" ht="14.7" x14ac:dyDescent="0.65">
      <c r="A220" s="34">
        <v>219</v>
      </c>
      <c r="B220" s="3" t="s">
        <v>714</v>
      </c>
      <c r="C220" s="1" t="s">
        <v>715</v>
      </c>
      <c r="D220" s="1">
        <v>17</v>
      </c>
      <c r="E220" t="s">
        <v>716</v>
      </c>
      <c r="F220" s="3">
        <v>1</v>
      </c>
      <c r="G220" s="33">
        <v>32874</v>
      </c>
      <c r="H220" s="33">
        <v>32874</v>
      </c>
      <c r="I220" s="1"/>
      <c r="J220" s="1"/>
      <c r="K220" s="1"/>
      <c r="L220" s="1"/>
      <c r="M220" s="1"/>
      <c r="P220" s="3"/>
      <c r="R220" s="1"/>
      <c r="S220" s="1"/>
    </row>
    <row r="221" spans="1:19" ht="14.7" x14ac:dyDescent="0.65">
      <c r="A221" s="34">
        <v>220</v>
      </c>
      <c r="B221" s="3" t="s">
        <v>717</v>
      </c>
      <c r="C221" s="1" t="s">
        <v>718</v>
      </c>
      <c r="D221" s="1">
        <v>18</v>
      </c>
      <c r="E221" t="s">
        <v>719</v>
      </c>
      <c r="F221" s="3">
        <v>1</v>
      </c>
      <c r="G221" s="33">
        <v>32874</v>
      </c>
      <c r="H221" s="33">
        <v>32874</v>
      </c>
      <c r="I221" s="1"/>
      <c r="J221" s="1"/>
      <c r="K221" s="1"/>
      <c r="L221" s="1"/>
      <c r="M221" s="1"/>
      <c r="P221" s="3"/>
      <c r="R221" s="1"/>
      <c r="S221" s="1"/>
    </row>
    <row r="222" spans="1:19" ht="14.7" x14ac:dyDescent="0.65">
      <c r="A222" s="34">
        <v>221</v>
      </c>
      <c r="B222" s="3" t="s">
        <v>721</v>
      </c>
      <c r="C222" s="1" t="s">
        <v>722</v>
      </c>
      <c r="D222" s="1">
        <v>18</v>
      </c>
      <c r="E222" t="s">
        <v>723</v>
      </c>
      <c r="F222" s="3">
        <v>1</v>
      </c>
      <c r="G222" s="33">
        <v>32874</v>
      </c>
      <c r="H222" s="33">
        <v>32874</v>
      </c>
      <c r="I222" s="1"/>
      <c r="J222" s="1"/>
      <c r="K222" s="1"/>
      <c r="L222" s="1"/>
      <c r="M222" s="1"/>
      <c r="P222" s="3"/>
      <c r="R222" s="1"/>
      <c r="S222" s="1"/>
    </row>
    <row r="223" spans="1:19" ht="14.7" x14ac:dyDescent="0.65">
      <c r="A223" s="34">
        <v>222</v>
      </c>
      <c r="B223" s="3" t="s">
        <v>724</v>
      </c>
      <c r="C223" s="1" t="s">
        <v>725</v>
      </c>
      <c r="D223" s="1">
        <v>18</v>
      </c>
      <c r="E223" t="s">
        <v>726</v>
      </c>
      <c r="F223" s="3">
        <v>1</v>
      </c>
      <c r="G223" s="33">
        <v>32874</v>
      </c>
      <c r="H223" s="33">
        <v>32874</v>
      </c>
      <c r="I223" s="1"/>
      <c r="J223" s="1"/>
      <c r="K223" s="1"/>
      <c r="L223" s="1"/>
      <c r="M223" s="1"/>
      <c r="P223" s="3"/>
      <c r="R223" s="1"/>
      <c r="S223" s="1"/>
    </row>
    <row r="224" spans="1:19" ht="14.7" x14ac:dyDescent="0.65">
      <c r="A224" s="34">
        <v>223</v>
      </c>
      <c r="B224" s="3" t="s">
        <v>727</v>
      </c>
      <c r="C224" s="1" t="s">
        <v>728</v>
      </c>
      <c r="D224" s="1">
        <v>18</v>
      </c>
      <c r="E224" t="s">
        <v>729</v>
      </c>
      <c r="F224" s="3">
        <v>1</v>
      </c>
      <c r="G224" s="33">
        <v>32874</v>
      </c>
      <c r="H224" s="33">
        <v>32874</v>
      </c>
      <c r="I224" s="1"/>
      <c r="J224" s="1"/>
      <c r="K224" s="1"/>
      <c r="L224" s="1"/>
      <c r="M224" s="1"/>
      <c r="P224" s="3"/>
      <c r="R224" s="1"/>
      <c r="S224" s="1"/>
    </row>
    <row r="225" spans="1:19" ht="14.7" x14ac:dyDescent="0.65">
      <c r="A225" s="34">
        <v>224</v>
      </c>
      <c r="B225" s="3" t="s">
        <v>730</v>
      </c>
      <c r="C225" s="1" t="s">
        <v>731</v>
      </c>
      <c r="D225" s="1">
        <v>18</v>
      </c>
      <c r="E225" t="s">
        <v>732</v>
      </c>
      <c r="F225" s="3">
        <v>1</v>
      </c>
      <c r="G225" s="33">
        <v>32874</v>
      </c>
      <c r="H225" s="33">
        <v>32874</v>
      </c>
      <c r="I225" s="1"/>
      <c r="J225" s="1"/>
      <c r="K225" s="1"/>
      <c r="L225" s="1"/>
      <c r="M225" s="1"/>
      <c r="P225" s="3"/>
      <c r="R225" s="1"/>
      <c r="S225" s="1"/>
    </row>
    <row r="226" spans="1:19" ht="14.7" x14ac:dyDescent="0.65">
      <c r="A226" s="34">
        <v>225</v>
      </c>
      <c r="B226" s="3" t="s">
        <v>733</v>
      </c>
      <c r="C226" s="1" t="s">
        <v>734</v>
      </c>
      <c r="D226" s="1">
        <v>18</v>
      </c>
      <c r="E226" t="s">
        <v>735</v>
      </c>
      <c r="F226" s="3">
        <v>1</v>
      </c>
      <c r="G226" s="33">
        <v>32874</v>
      </c>
      <c r="H226" s="33">
        <v>32874</v>
      </c>
      <c r="I226" s="1"/>
      <c r="J226" s="1"/>
      <c r="K226" s="1"/>
      <c r="L226" s="1"/>
      <c r="M226" s="1"/>
      <c r="P226" s="3"/>
      <c r="R226" s="1"/>
      <c r="S226" s="1"/>
    </row>
    <row r="227" spans="1:19" ht="14.7" x14ac:dyDescent="0.65">
      <c r="A227" s="34">
        <v>226</v>
      </c>
      <c r="B227" s="3" t="s">
        <v>736</v>
      </c>
      <c r="C227" s="1" t="s">
        <v>737</v>
      </c>
      <c r="D227" s="1">
        <v>18</v>
      </c>
      <c r="E227" t="s">
        <v>738</v>
      </c>
      <c r="F227" s="3">
        <v>1</v>
      </c>
      <c r="G227" s="33">
        <v>32874</v>
      </c>
      <c r="H227" s="33">
        <v>32874</v>
      </c>
      <c r="I227" s="1"/>
      <c r="J227" s="1"/>
      <c r="K227" s="1"/>
      <c r="L227" s="1"/>
      <c r="M227" s="1"/>
      <c r="P227" s="3"/>
      <c r="R227" s="1"/>
      <c r="S227" s="1"/>
    </row>
    <row r="228" spans="1:19" ht="14.7" x14ac:dyDescent="0.65">
      <c r="A228" s="34">
        <v>227</v>
      </c>
      <c r="B228" s="3" t="s">
        <v>739</v>
      </c>
      <c r="C228" s="1" t="s">
        <v>740</v>
      </c>
      <c r="D228" s="1">
        <v>18</v>
      </c>
      <c r="E228" t="s">
        <v>741</v>
      </c>
      <c r="F228" s="3">
        <v>1</v>
      </c>
      <c r="G228" s="33">
        <v>32874</v>
      </c>
      <c r="H228" s="33">
        <v>32874</v>
      </c>
      <c r="I228" s="1"/>
      <c r="J228" s="1"/>
      <c r="K228" s="1"/>
      <c r="L228" s="1"/>
      <c r="M228" s="1"/>
      <c r="P228" s="3"/>
      <c r="R228" s="1"/>
      <c r="S228" s="1"/>
    </row>
    <row r="229" spans="1:19" ht="14.7" x14ac:dyDescent="0.65">
      <c r="A229" s="34">
        <v>228</v>
      </c>
      <c r="B229" s="3" t="s">
        <v>742</v>
      </c>
      <c r="C229" s="1" t="s">
        <v>743</v>
      </c>
      <c r="D229" s="1">
        <v>18</v>
      </c>
      <c r="E229" t="s">
        <v>744</v>
      </c>
      <c r="F229" s="3">
        <v>1</v>
      </c>
      <c r="G229" s="33">
        <v>32874</v>
      </c>
      <c r="H229" s="33">
        <v>32874</v>
      </c>
      <c r="I229" s="1"/>
      <c r="J229" s="1"/>
      <c r="K229" s="1"/>
      <c r="L229" s="1"/>
      <c r="M229" s="1"/>
      <c r="P229" s="3"/>
      <c r="R229" s="1"/>
      <c r="S229" s="1"/>
    </row>
    <row r="230" spans="1:19" ht="14.7" x14ac:dyDescent="0.65">
      <c r="A230" s="34">
        <v>229</v>
      </c>
      <c r="B230" s="3" t="s">
        <v>745</v>
      </c>
      <c r="C230" s="1" t="s">
        <v>746</v>
      </c>
      <c r="D230" s="1">
        <v>18</v>
      </c>
      <c r="E230" t="s">
        <v>747</v>
      </c>
      <c r="F230" s="3">
        <v>1</v>
      </c>
      <c r="G230" s="33">
        <v>32874</v>
      </c>
      <c r="H230" s="33">
        <v>32874</v>
      </c>
      <c r="I230" s="1"/>
      <c r="J230" s="1"/>
      <c r="K230" s="1"/>
      <c r="L230" s="1"/>
      <c r="M230" s="1"/>
      <c r="P230" s="3"/>
      <c r="R230" s="1"/>
      <c r="S230" s="1"/>
    </row>
    <row r="231" spans="1:19" ht="14.7" x14ac:dyDescent="0.65">
      <c r="A231" s="34">
        <v>230</v>
      </c>
      <c r="B231" s="3" t="s">
        <v>748</v>
      </c>
      <c r="C231" s="1" t="s">
        <v>749</v>
      </c>
      <c r="D231" s="1">
        <v>18</v>
      </c>
      <c r="E231" t="s">
        <v>750</v>
      </c>
      <c r="F231" s="3">
        <v>1</v>
      </c>
      <c r="G231" s="33">
        <v>32874</v>
      </c>
      <c r="H231" s="33">
        <v>32874</v>
      </c>
      <c r="I231" s="1"/>
      <c r="J231" s="1"/>
      <c r="K231" s="1"/>
      <c r="L231" s="1"/>
      <c r="M231" s="1"/>
      <c r="P231" s="3"/>
      <c r="R231" s="1"/>
      <c r="S231" s="1"/>
    </row>
    <row r="232" spans="1:19" ht="14.7" x14ac:dyDescent="0.65">
      <c r="A232" s="34">
        <v>231</v>
      </c>
      <c r="B232" s="3" t="s">
        <v>751</v>
      </c>
      <c r="C232" s="1" t="s">
        <v>752</v>
      </c>
      <c r="D232" s="1">
        <v>18</v>
      </c>
      <c r="E232" t="s">
        <v>753</v>
      </c>
      <c r="F232" s="3">
        <v>1</v>
      </c>
      <c r="G232" s="33">
        <v>32874</v>
      </c>
      <c r="H232" s="33">
        <v>32874</v>
      </c>
      <c r="I232" s="1"/>
      <c r="J232" s="1"/>
      <c r="K232" s="1"/>
      <c r="L232" s="1"/>
      <c r="M232" s="1"/>
      <c r="P232" s="3"/>
      <c r="R232" s="1"/>
      <c r="S232" s="1"/>
    </row>
    <row r="233" spans="1:19" ht="14.7" x14ac:dyDescent="0.65">
      <c r="A233" s="34">
        <v>232</v>
      </c>
      <c r="B233" s="3" t="s">
        <v>754</v>
      </c>
      <c r="C233" s="1" t="s">
        <v>755</v>
      </c>
      <c r="D233" s="1">
        <v>18</v>
      </c>
      <c r="E233" t="s">
        <v>756</v>
      </c>
      <c r="F233" s="3">
        <v>1</v>
      </c>
      <c r="G233" s="33">
        <v>32874</v>
      </c>
      <c r="H233" s="33">
        <v>32874</v>
      </c>
      <c r="I233" s="1"/>
      <c r="J233" s="1"/>
      <c r="K233" s="1"/>
      <c r="L233" s="1"/>
      <c r="M233" s="1"/>
      <c r="P233" s="3"/>
      <c r="R233" s="1"/>
      <c r="S233" s="1"/>
    </row>
    <row r="234" spans="1:19" ht="14.7" x14ac:dyDescent="0.65">
      <c r="A234" s="34">
        <v>233</v>
      </c>
      <c r="B234" s="3" t="s">
        <v>757</v>
      </c>
      <c r="C234" s="1" t="s">
        <v>758</v>
      </c>
      <c r="D234" s="1">
        <v>18</v>
      </c>
      <c r="E234" t="s">
        <v>759</v>
      </c>
      <c r="F234" s="3">
        <v>1</v>
      </c>
      <c r="G234" s="33">
        <v>32874</v>
      </c>
      <c r="H234" s="33">
        <v>32874</v>
      </c>
      <c r="I234" s="1"/>
      <c r="J234" s="1"/>
      <c r="K234" s="1"/>
      <c r="L234" s="1"/>
      <c r="M234" s="1"/>
      <c r="P234" s="3"/>
      <c r="R234" s="1"/>
      <c r="S234" s="1"/>
    </row>
    <row r="235" spans="1:19" ht="14.7" x14ac:dyDescent="0.65">
      <c r="A235" s="34">
        <v>234</v>
      </c>
      <c r="B235" s="3" t="s">
        <v>760</v>
      </c>
      <c r="C235" s="1" t="s">
        <v>761</v>
      </c>
      <c r="D235" s="1">
        <v>18</v>
      </c>
      <c r="E235" t="s">
        <v>762</v>
      </c>
      <c r="F235" s="3">
        <v>1</v>
      </c>
      <c r="G235" s="33">
        <v>32874</v>
      </c>
      <c r="H235" s="33">
        <v>32874</v>
      </c>
      <c r="I235" s="1"/>
      <c r="J235" s="1"/>
      <c r="K235" s="1"/>
      <c r="L235" s="1"/>
      <c r="M235" s="1"/>
      <c r="P235" s="3"/>
      <c r="R235" s="1"/>
      <c r="S235" s="1"/>
    </row>
    <row r="236" spans="1:19" ht="14.7" x14ac:dyDescent="0.65">
      <c r="A236" s="34">
        <v>235</v>
      </c>
      <c r="B236" s="3" t="s">
        <v>763</v>
      </c>
      <c r="C236" s="1" t="s">
        <v>764</v>
      </c>
      <c r="D236" s="1">
        <v>18</v>
      </c>
      <c r="E236" t="s">
        <v>765</v>
      </c>
      <c r="F236" s="3">
        <v>1</v>
      </c>
      <c r="G236" s="33">
        <v>32874</v>
      </c>
      <c r="H236" s="33">
        <v>32874</v>
      </c>
      <c r="I236" s="1"/>
      <c r="J236" s="1"/>
      <c r="K236" s="1"/>
      <c r="L236" s="1"/>
      <c r="M236" s="1"/>
      <c r="P236" s="3"/>
      <c r="R236" s="1"/>
      <c r="S236" s="1"/>
    </row>
    <row r="237" spans="1:19" ht="14.7" x14ac:dyDescent="0.65">
      <c r="A237" s="34">
        <v>236</v>
      </c>
      <c r="B237" s="3" t="s">
        <v>766</v>
      </c>
      <c r="C237" s="1" t="s">
        <v>767</v>
      </c>
      <c r="D237" s="1">
        <v>18</v>
      </c>
      <c r="E237" t="s">
        <v>768</v>
      </c>
      <c r="F237" s="3">
        <v>1</v>
      </c>
      <c r="G237" s="33">
        <v>32874</v>
      </c>
      <c r="H237" s="33">
        <v>32874</v>
      </c>
      <c r="I237" s="1"/>
      <c r="J237" s="1"/>
      <c r="K237" s="1"/>
      <c r="L237" s="1"/>
      <c r="M237" s="1"/>
      <c r="P237" s="3"/>
      <c r="R237" s="1"/>
      <c r="S237" s="1"/>
    </row>
    <row r="238" spans="1:19" ht="14.7" x14ac:dyDescent="0.65">
      <c r="A238" s="34">
        <v>237</v>
      </c>
      <c r="B238" s="3" t="s">
        <v>769</v>
      </c>
      <c r="C238" s="1" t="s">
        <v>770</v>
      </c>
      <c r="D238" s="1">
        <v>18</v>
      </c>
      <c r="E238" t="s">
        <v>771</v>
      </c>
      <c r="F238" s="3">
        <v>1</v>
      </c>
      <c r="G238" s="33">
        <v>32874</v>
      </c>
      <c r="H238" s="33">
        <v>32874</v>
      </c>
      <c r="I238" s="1"/>
      <c r="J238" s="1"/>
      <c r="K238" s="1"/>
      <c r="L238" s="1"/>
      <c r="M238" s="1"/>
      <c r="P238" s="3"/>
      <c r="R238" s="1"/>
      <c r="S238" s="1"/>
    </row>
    <row r="239" spans="1:19" ht="14.7" x14ac:dyDescent="0.65">
      <c r="A239" s="34">
        <v>238</v>
      </c>
      <c r="B239" s="3" t="s">
        <v>772</v>
      </c>
      <c r="C239" s="1" t="s">
        <v>773</v>
      </c>
      <c r="D239" s="1">
        <v>18</v>
      </c>
      <c r="E239" t="s">
        <v>774</v>
      </c>
      <c r="F239" s="3">
        <v>1</v>
      </c>
      <c r="G239" s="33">
        <v>32874</v>
      </c>
      <c r="H239" s="33">
        <v>32874</v>
      </c>
      <c r="I239" s="1"/>
      <c r="J239" s="1"/>
      <c r="K239" s="1"/>
      <c r="L239" s="1"/>
      <c r="M239" s="1"/>
      <c r="P239" s="3"/>
      <c r="R239" s="1"/>
      <c r="S239" s="1"/>
    </row>
    <row r="240" spans="1:19" ht="14.7" x14ac:dyDescent="0.65">
      <c r="A240" s="34">
        <v>239</v>
      </c>
      <c r="B240" s="3" t="s">
        <v>775</v>
      </c>
      <c r="C240" s="1" t="s">
        <v>776</v>
      </c>
      <c r="D240" s="1">
        <v>18</v>
      </c>
      <c r="E240" t="s">
        <v>777</v>
      </c>
      <c r="F240" s="3">
        <v>1</v>
      </c>
      <c r="G240" s="33">
        <v>32874</v>
      </c>
      <c r="H240" s="33">
        <v>32874</v>
      </c>
      <c r="I240" s="1"/>
      <c r="J240" s="1"/>
      <c r="K240" s="1"/>
      <c r="L240" s="1"/>
      <c r="M240" s="1"/>
      <c r="P240" s="3"/>
      <c r="R240" s="1"/>
      <c r="S240" s="1"/>
    </row>
    <row r="241" spans="1:19" ht="14.7" x14ac:dyDescent="0.65">
      <c r="A241" s="34">
        <v>240</v>
      </c>
      <c r="B241" s="3" t="s">
        <v>778</v>
      </c>
      <c r="C241" s="1" t="s">
        <v>779</v>
      </c>
      <c r="D241" s="1">
        <v>18</v>
      </c>
      <c r="E241" t="s">
        <v>780</v>
      </c>
      <c r="F241" s="3">
        <v>1</v>
      </c>
      <c r="G241" s="33">
        <v>32874</v>
      </c>
      <c r="H241" s="33">
        <v>32874</v>
      </c>
      <c r="I241" s="1"/>
      <c r="J241" s="1"/>
      <c r="K241" s="1"/>
      <c r="L241" s="1"/>
      <c r="M241" s="1"/>
      <c r="P241" s="3"/>
      <c r="R241" s="1"/>
      <c r="S241" s="1"/>
    </row>
    <row r="242" spans="1:19" ht="14.7" x14ac:dyDescent="0.65">
      <c r="A242" s="34">
        <v>241</v>
      </c>
      <c r="B242" s="3" t="s">
        <v>781</v>
      </c>
      <c r="C242" s="1" t="s">
        <v>782</v>
      </c>
      <c r="D242" s="1">
        <v>18</v>
      </c>
      <c r="E242" t="s">
        <v>783</v>
      </c>
      <c r="F242" s="3">
        <v>1</v>
      </c>
      <c r="G242" s="33">
        <v>32874</v>
      </c>
      <c r="H242" s="33">
        <v>32874</v>
      </c>
      <c r="I242" s="1"/>
      <c r="J242" s="1"/>
      <c r="K242" s="1"/>
      <c r="L242" s="1"/>
      <c r="M242" s="1"/>
      <c r="P242" s="3"/>
      <c r="R242" s="1"/>
      <c r="S242" s="1"/>
    </row>
    <row r="243" spans="1:19" ht="14.7" x14ac:dyDescent="0.65">
      <c r="A243" s="34">
        <v>242</v>
      </c>
      <c r="B243" s="3" t="s">
        <v>784</v>
      </c>
      <c r="C243" s="1" t="s">
        <v>785</v>
      </c>
      <c r="D243" s="1">
        <v>18</v>
      </c>
      <c r="E243" t="s">
        <v>786</v>
      </c>
      <c r="F243" s="3">
        <v>1</v>
      </c>
      <c r="G243" s="33">
        <v>32874</v>
      </c>
      <c r="H243" s="33">
        <v>32874</v>
      </c>
      <c r="I243" s="1"/>
      <c r="J243" s="1"/>
      <c r="K243" s="1"/>
      <c r="L243" s="1"/>
      <c r="M243" s="1"/>
      <c r="P243" s="3"/>
      <c r="R243" s="1"/>
      <c r="S243" s="1"/>
    </row>
    <row r="244" spans="1:19" ht="14.7" x14ac:dyDescent="0.65">
      <c r="A244" s="34">
        <v>243</v>
      </c>
      <c r="B244" s="3" t="s">
        <v>787</v>
      </c>
      <c r="C244" s="1" t="s">
        <v>788</v>
      </c>
      <c r="D244" s="1">
        <v>18</v>
      </c>
      <c r="E244" t="s">
        <v>789</v>
      </c>
      <c r="F244" s="3">
        <v>1</v>
      </c>
      <c r="G244" s="33">
        <v>32874</v>
      </c>
      <c r="H244" s="33">
        <v>32874</v>
      </c>
      <c r="I244" s="1"/>
      <c r="J244" s="1"/>
      <c r="K244" s="1"/>
      <c r="L244" s="1"/>
      <c r="M244" s="1"/>
      <c r="P244" s="3"/>
      <c r="R244" s="1"/>
      <c r="S244" s="1"/>
    </row>
    <row r="245" spans="1:19" ht="14.7" x14ac:dyDescent="0.65">
      <c r="A245" s="34">
        <v>244</v>
      </c>
      <c r="B245" s="3" t="s">
        <v>790</v>
      </c>
      <c r="C245" s="1" t="s">
        <v>791</v>
      </c>
      <c r="D245" s="1">
        <v>18</v>
      </c>
      <c r="E245" t="s">
        <v>792</v>
      </c>
      <c r="F245" s="3">
        <v>1</v>
      </c>
      <c r="G245" s="33">
        <v>32874</v>
      </c>
      <c r="H245" s="33">
        <v>32874</v>
      </c>
      <c r="I245" s="1"/>
      <c r="J245" s="1"/>
      <c r="K245" s="1"/>
      <c r="L245" s="1"/>
      <c r="M245" s="1"/>
      <c r="P245" s="3"/>
      <c r="R245" s="1"/>
      <c r="S245" s="1"/>
    </row>
    <row r="246" spans="1:19" ht="14.7" x14ac:dyDescent="0.65">
      <c r="A246" s="34">
        <v>245</v>
      </c>
      <c r="B246" s="3" t="s">
        <v>793</v>
      </c>
      <c r="C246" s="1" t="s">
        <v>794</v>
      </c>
      <c r="D246" s="1">
        <v>18</v>
      </c>
      <c r="E246" t="s">
        <v>795</v>
      </c>
      <c r="F246" s="3">
        <v>1</v>
      </c>
      <c r="G246" s="33">
        <v>32874</v>
      </c>
      <c r="H246" s="33">
        <v>32874</v>
      </c>
      <c r="I246" s="1"/>
      <c r="J246" s="1"/>
      <c r="K246" s="1"/>
      <c r="L246" s="1"/>
      <c r="M246" s="1"/>
      <c r="P246" s="3"/>
      <c r="R246" s="1"/>
      <c r="S246" s="1"/>
    </row>
    <row r="247" spans="1:19" ht="14.7" x14ac:dyDescent="0.65">
      <c r="A247" s="34">
        <v>246</v>
      </c>
      <c r="B247" s="3" t="s">
        <v>796</v>
      </c>
      <c r="C247" s="1" t="s">
        <v>797</v>
      </c>
      <c r="D247" s="1">
        <v>18</v>
      </c>
      <c r="E247" t="s">
        <v>798</v>
      </c>
      <c r="F247" s="3">
        <v>1</v>
      </c>
      <c r="G247" s="33">
        <v>32874</v>
      </c>
      <c r="H247" s="33">
        <v>32874</v>
      </c>
      <c r="I247" s="1"/>
      <c r="J247" s="1"/>
      <c r="K247" s="1"/>
      <c r="L247" s="1"/>
      <c r="M247" s="1"/>
      <c r="P247" s="3"/>
      <c r="R247" s="1"/>
      <c r="S247" s="1"/>
    </row>
    <row r="248" spans="1:19" ht="14.7" x14ac:dyDescent="0.65">
      <c r="A248" s="34">
        <v>247</v>
      </c>
      <c r="B248" s="3" t="s">
        <v>799</v>
      </c>
      <c r="C248" s="1" t="s">
        <v>800</v>
      </c>
      <c r="D248" s="1">
        <v>18</v>
      </c>
      <c r="E248" t="s">
        <v>801</v>
      </c>
      <c r="F248" s="3">
        <v>1</v>
      </c>
      <c r="G248" s="33">
        <v>32874</v>
      </c>
      <c r="H248" s="33">
        <v>32874</v>
      </c>
      <c r="I248" s="1"/>
      <c r="J248" s="1"/>
      <c r="K248" s="1"/>
      <c r="L248" s="1"/>
      <c r="M248" s="1"/>
      <c r="P248" s="3"/>
      <c r="R248" s="1"/>
      <c r="S248" s="1"/>
    </row>
    <row r="249" spans="1:19" ht="14.7" x14ac:dyDescent="0.65">
      <c r="A249" s="34">
        <v>248</v>
      </c>
      <c r="B249" s="3" t="s">
        <v>802</v>
      </c>
      <c r="C249" s="1" t="s">
        <v>803</v>
      </c>
      <c r="D249" s="1">
        <v>18</v>
      </c>
      <c r="E249" t="s">
        <v>804</v>
      </c>
      <c r="F249" s="3">
        <v>1</v>
      </c>
      <c r="G249" s="33">
        <v>32874</v>
      </c>
      <c r="H249" s="33">
        <v>32874</v>
      </c>
      <c r="I249" s="1"/>
      <c r="J249" s="1"/>
      <c r="K249" s="1"/>
      <c r="L249" s="1"/>
      <c r="M249" s="1"/>
      <c r="P249" s="3"/>
      <c r="R249" s="1"/>
      <c r="S249" s="1"/>
    </row>
    <row r="250" spans="1:19" ht="14.7" x14ac:dyDescent="0.65">
      <c r="A250" s="34">
        <v>249</v>
      </c>
      <c r="B250" s="3" t="s">
        <v>805</v>
      </c>
      <c r="C250" s="1" t="s">
        <v>806</v>
      </c>
      <c r="D250" s="1">
        <v>18</v>
      </c>
      <c r="E250" t="s">
        <v>807</v>
      </c>
      <c r="F250" s="3">
        <v>1</v>
      </c>
      <c r="G250" s="33">
        <v>32874</v>
      </c>
      <c r="H250" s="33">
        <v>32874</v>
      </c>
      <c r="I250" s="1"/>
      <c r="J250" s="1"/>
      <c r="K250" s="1"/>
      <c r="L250" s="1"/>
      <c r="M250" s="1"/>
      <c r="P250" s="3"/>
      <c r="R250" s="1"/>
      <c r="S250" s="1"/>
    </row>
    <row r="251" spans="1:19" ht="14.7" x14ac:dyDescent="0.65">
      <c r="A251" s="34">
        <v>250</v>
      </c>
      <c r="B251" s="3" t="s">
        <v>808</v>
      </c>
      <c r="C251" s="1" t="s">
        <v>809</v>
      </c>
      <c r="D251" s="1">
        <v>18</v>
      </c>
      <c r="E251" t="s">
        <v>810</v>
      </c>
      <c r="F251" s="3">
        <v>1</v>
      </c>
      <c r="G251" s="33">
        <v>32874</v>
      </c>
      <c r="H251" s="33">
        <v>32874</v>
      </c>
      <c r="I251" s="1"/>
      <c r="J251" s="1"/>
      <c r="K251" s="1"/>
      <c r="L251" s="1"/>
      <c r="M251" s="1"/>
      <c r="P251" s="3"/>
      <c r="R251" s="1"/>
      <c r="S251" s="1"/>
    </row>
    <row r="252" spans="1:19" ht="14.7" x14ac:dyDescent="0.65">
      <c r="A252" s="34">
        <v>251</v>
      </c>
      <c r="B252" s="3" t="s">
        <v>811</v>
      </c>
      <c r="C252" s="1" t="s">
        <v>812</v>
      </c>
      <c r="D252" s="1">
        <v>18</v>
      </c>
      <c r="E252" t="s">
        <v>813</v>
      </c>
      <c r="F252" s="3">
        <v>1</v>
      </c>
      <c r="G252" s="33">
        <v>32874</v>
      </c>
      <c r="H252" s="33">
        <v>32874</v>
      </c>
      <c r="I252" s="1"/>
      <c r="J252" s="1"/>
      <c r="K252" s="1"/>
      <c r="L252" s="1"/>
      <c r="M252" s="1"/>
      <c r="P252" s="3"/>
      <c r="R252" s="1"/>
      <c r="S252" s="1"/>
    </row>
    <row r="253" spans="1:19" ht="14.7" x14ac:dyDescent="0.65">
      <c r="A253" s="34">
        <v>252</v>
      </c>
      <c r="B253" s="3" t="s">
        <v>814</v>
      </c>
      <c r="C253" s="1" t="s">
        <v>815</v>
      </c>
      <c r="D253" s="1">
        <v>18</v>
      </c>
      <c r="E253" t="s">
        <v>816</v>
      </c>
      <c r="F253" s="3">
        <v>1</v>
      </c>
      <c r="G253" s="33">
        <v>32874</v>
      </c>
      <c r="H253" s="33">
        <v>32874</v>
      </c>
      <c r="I253" s="1"/>
      <c r="J253" s="1"/>
      <c r="K253" s="1"/>
      <c r="L253" s="1"/>
      <c r="M253" s="1"/>
      <c r="P253" s="3"/>
      <c r="R253" s="1"/>
      <c r="S253" s="1"/>
    </row>
    <row r="254" spans="1:19" ht="14.7" x14ac:dyDescent="0.65">
      <c r="A254" s="34">
        <v>253</v>
      </c>
      <c r="B254" s="3" t="s">
        <v>817</v>
      </c>
      <c r="C254" s="1" t="s">
        <v>818</v>
      </c>
      <c r="D254" s="1">
        <v>18</v>
      </c>
      <c r="E254" t="s">
        <v>819</v>
      </c>
      <c r="F254" s="3">
        <v>1</v>
      </c>
      <c r="G254" s="33">
        <v>32874</v>
      </c>
      <c r="H254" s="33">
        <v>32874</v>
      </c>
      <c r="I254" s="1"/>
      <c r="J254" s="1"/>
      <c r="K254" s="1"/>
      <c r="L254" s="1"/>
      <c r="M254" s="1"/>
      <c r="P254" s="3"/>
      <c r="R254" s="1"/>
      <c r="S254" s="1"/>
    </row>
    <row r="255" spans="1:19" ht="14.7" x14ac:dyDescent="0.65">
      <c r="A255" s="34">
        <v>254</v>
      </c>
      <c r="B255" s="3" t="s">
        <v>820</v>
      </c>
      <c r="C255" s="1" t="s">
        <v>821</v>
      </c>
      <c r="D255" s="1">
        <v>18</v>
      </c>
      <c r="E255" t="s">
        <v>822</v>
      </c>
      <c r="F255" s="3">
        <v>1</v>
      </c>
      <c r="G255" s="33">
        <v>32874</v>
      </c>
      <c r="H255" s="33">
        <v>32874</v>
      </c>
      <c r="I255" s="1"/>
      <c r="J255" s="1"/>
      <c r="K255" s="1"/>
      <c r="L255" s="1"/>
      <c r="M255" s="1"/>
      <c r="P255" s="3"/>
      <c r="R255" s="1"/>
      <c r="S255" s="1"/>
    </row>
    <row r="256" spans="1:19" ht="14.7" x14ac:dyDescent="0.65">
      <c r="A256" s="34">
        <v>255</v>
      </c>
      <c r="B256" s="3" t="s">
        <v>823</v>
      </c>
      <c r="C256" s="1" t="s">
        <v>824</v>
      </c>
      <c r="D256" s="1">
        <v>18</v>
      </c>
      <c r="E256" t="s">
        <v>825</v>
      </c>
      <c r="F256" s="3">
        <v>1</v>
      </c>
      <c r="G256" s="33">
        <v>32874</v>
      </c>
      <c r="H256" s="33">
        <v>32874</v>
      </c>
      <c r="I256" s="1"/>
      <c r="J256" s="1"/>
      <c r="K256" s="1"/>
      <c r="L256" s="1"/>
      <c r="M256" s="1"/>
      <c r="P256" s="3"/>
      <c r="R256" s="1"/>
      <c r="S256" s="1"/>
    </row>
    <row r="257" spans="1:19" ht="14.7" x14ac:dyDescent="0.65">
      <c r="A257" s="34">
        <v>256</v>
      </c>
      <c r="B257" s="3" t="s">
        <v>826</v>
      </c>
      <c r="C257" s="1" t="s">
        <v>827</v>
      </c>
      <c r="D257" s="1">
        <v>18</v>
      </c>
      <c r="E257" t="s">
        <v>828</v>
      </c>
      <c r="F257" s="3">
        <v>1</v>
      </c>
      <c r="G257" s="33">
        <v>32874</v>
      </c>
      <c r="H257" s="33">
        <v>32874</v>
      </c>
      <c r="I257" s="1"/>
      <c r="J257" s="1"/>
      <c r="K257" s="1"/>
      <c r="L257" s="1"/>
      <c r="M257" s="1"/>
      <c r="P257" s="3"/>
      <c r="R257" s="1"/>
      <c r="S257" s="1"/>
    </row>
    <row r="258" spans="1:19" ht="14.7" x14ac:dyDescent="0.65">
      <c r="A258" s="34">
        <v>257</v>
      </c>
      <c r="B258" s="3" t="s">
        <v>829</v>
      </c>
      <c r="C258" s="1" t="s">
        <v>830</v>
      </c>
      <c r="D258" s="1">
        <v>19</v>
      </c>
      <c r="E258" t="s">
        <v>831</v>
      </c>
      <c r="F258" s="3">
        <v>1</v>
      </c>
      <c r="G258" s="33">
        <v>32874</v>
      </c>
      <c r="H258" s="33">
        <v>32874</v>
      </c>
      <c r="I258" s="1"/>
      <c r="J258" s="1"/>
      <c r="K258" s="1"/>
      <c r="L258" s="1"/>
      <c r="M258" s="1"/>
      <c r="P258" s="3"/>
      <c r="R258" s="1"/>
      <c r="S258" s="1"/>
    </row>
    <row r="259" spans="1:19" ht="14.7" x14ac:dyDescent="0.65">
      <c r="A259" s="34">
        <v>258</v>
      </c>
      <c r="B259" s="3" t="s">
        <v>833</v>
      </c>
      <c r="C259" s="1" t="s">
        <v>834</v>
      </c>
      <c r="D259" s="1">
        <v>19</v>
      </c>
      <c r="E259" t="s">
        <v>835</v>
      </c>
      <c r="F259" s="3">
        <v>1</v>
      </c>
      <c r="G259" s="33">
        <v>32874</v>
      </c>
      <c r="H259" s="33">
        <v>32874</v>
      </c>
      <c r="I259" s="1"/>
      <c r="J259" s="1"/>
      <c r="K259" s="1"/>
      <c r="L259" s="1"/>
      <c r="M259" s="1"/>
      <c r="P259" s="3"/>
      <c r="R259" s="1"/>
      <c r="S259" s="1"/>
    </row>
    <row r="260" spans="1:19" ht="14.7" x14ac:dyDescent="0.65">
      <c r="A260" s="34">
        <v>259</v>
      </c>
      <c r="B260" s="3" t="s">
        <v>836</v>
      </c>
      <c r="C260" s="1" t="s">
        <v>837</v>
      </c>
      <c r="D260" s="1">
        <v>19</v>
      </c>
      <c r="E260" t="s">
        <v>838</v>
      </c>
      <c r="F260" s="3">
        <v>1</v>
      </c>
      <c r="G260" s="33">
        <v>32874</v>
      </c>
      <c r="H260" s="33">
        <v>32874</v>
      </c>
      <c r="I260" s="1"/>
      <c r="J260" s="1"/>
      <c r="K260" s="1"/>
      <c r="L260" s="1"/>
      <c r="M260" s="1"/>
      <c r="P260" s="3"/>
      <c r="R260" s="1"/>
      <c r="S260" s="1"/>
    </row>
    <row r="261" spans="1:19" ht="14.7" x14ac:dyDescent="0.65">
      <c r="A261" s="34">
        <v>260</v>
      </c>
      <c r="B261" s="3" t="s">
        <v>839</v>
      </c>
      <c r="C261" s="1" t="s">
        <v>840</v>
      </c>
      <c r="D261" s="1">
        <v>19</v>
      </c>
      <c r="E261" t="s">
        <v>841</v>
      </c>
      <c r="F261" s="3">
        <v>1</v>
      </c>
      <c r="G261" s="33">
        <v>32874</v>
      </c>
      <c r="H261" s="33">
        <v>32874</v>
      </c>
      <c r="I261" s="1"/>
      <c r="J261" s="1"/>
      <c r="K261" s="1"/>
      <c r="L261" s="1"/>
      <c r="M261" s="1"/>
      <c r="P261" s="3"/>
      <c r="R261" s="1"/>
      <c r="S261" s="1"/>
    </row>
    <row r="262" spans="1:19" ht="14.7" x14ac:dyDescent="0.65">
      <c r="A262" s="34">
        <v>261</v>
      </c>
      <c r="B262" s="3" t="s">
        <v>842</v>
      </c>
      <c r="C262" s="1" t="s">
        <v>843</v>
      </c>
      <c r="D262" s="1">
        <v>19</v>
      </c>
      <c r="E262" t="s">
        <v>844</v>
      </c>
      <c r="F262" s="3">
        <v>1</v>
      </c>
      <c r="G262" s="33">
        <v>32874</v>
      </c>
      <c r="H262" s="33">
        <v>32874</v>
      </c>
      <c r="I262" s="1"/>
      <c r="J262" s="1"/>
      <c r="K262" s="1"/>
      <c r="L262" s="1"/>
      <c r="M262" s="1"/>
      <c r="P262" s="3"/>
      <c r="R262" s="1"/>
      <c r="S262" s="1"/>
    </row>
    <row r="263" spans="1:19" ht="14.7" x14ac:dyDescent="0.65">
      <c r="A263" s="34">
        <v>262</v>
      </c>
      <c r="B263" s="3" t="s">
        <v>845</v>
      </c>
      <c r="C263" s="1" t="s">
        <v>846</v>
      </c>
      <c r="D263" s="1">
        <v>19</v>
      </c>
      <c r="E263" t="s">
        <v>847</v>
      </c>
      <c r="F263" s="3">
        <v>1</v>
      </c>
      <c r="G263" s="33">
        <v>32874</v>
      </c>
      <c r="H263" s="33">
        <v>32874</v>
      </c>
      <c r="I263" s="1"/>
      <c r="J263" s="1"/>
      <c r="K263" s="1"/>
      <c r="L263" s="1"/>
      <c r="M263" s="1"/>
      <c r="P263" s="3"/>
      <c r="R263" s="1"/>
      <c r="S263" s="1"/>
    </row>
    <row r="264" spans="1:19" ht="14.7" x14ac:dyDescent="0.65">
      <c r="A264" s="34">
        <v>263</v>
      </c>
      <c r="B264" s="3" t="s">
        <v>848</v>
      </c>
      <c r="C264" s="1" t="s">
        <v>849</v>
      </c>
      <c r="D264" s="1">
        <v>19</v>
      </c>
      <c r="E264" t="s">
        <v>850</v>
      </c>
      <c r="F264" s="3">
        <v>1</v>
      </c>
      <c r="G264" s="33">
        <v>32874</v>
      </c>
      <c r="H264" s="33">
        <v>32874</v>
      </c>
      <c r="I264" s="1"/>
      <c r="J264" s="1"/>
      <c r="K264" s="1"/>
      <c r="L264" s="1"/>
      <c r="M264" s="1"/>
      <c r="P264" s="3"/>
      <c r="R264" s="1"/>
      <c r="S264" s="1"/>
    </row>
    <row r="265" spans="1:19" ht="14.7" x14ac:dyDescent="0.65">
      <c r="A265" s="34">
        <v>264</v>
      </c>
      <c r="B265" s="3" t="s">
        <v>851</v>
      </c>
      <c r="C265" s="1" t="s">
        <v>852</v>
      </c>
      <c r="D265" s="1">
        <v>19</v>
      </c>
      <c r="E265" t="s">
        <v>853</v>
      </c>
      <c r="F265" s="3">
        <v>1</v>
      </c>
      <c r="G265" s="33">
        <v>32874</v>
      </c>
      <c r="H265" s="33">
        <v>32874</v>
      </c>
      <c r="I265" s="1"/>
      <c r="J265" s="1"/>
      <c r="K265" s="1"/>
      <c r="L265" s="1"/>
      <c r="M265" s="1"/>
      <c r="P265" s="3"/>
      <c r="R265" s="1"/>
      <c r="S265" s="1"/>
    </row>
    <row r="266" spans="1:19" ht="14.7" x14ac:dyDescent="0.65">
      <c r="A266" s="34">
        <v>265</v>
      </c>
      <c r="B266" s="3" t="s">
        <v>854</v>
      </c>
      <c r="C266" s="1" t="s">
        <v>855</v>
      </c>
      <c r="D266" s="1">
        <v>19</v>
      </c>
      <c r="E266" t="s">
        <v>856</v>
      </c>
      <c r="F266" s="3">
        <v>1</v>
      </c>
      <c r="G266" s="33">
        <v>32874</v>
      </c>
      <c r="H266" s="33">
        <v>32874</v>
      </c>
      <c r="I266" s="1"/>
      <c r="J266" s="1"/>
      <c r="K266" s="1"/>
      <c r="L266" s="1"/>
      <c r="M266" s="1"/>
      <c r="P266" s="3"/>
      <c r="R266" s="1"/>
      <c r="S266" s="1"/>
    </row>
    <row r="267" spans="1:19" ht="14.7" x14ac:dyDescent="0.65">
      <c r="A267" s="34">
        <v>266</v>
      </c>
      <c r="B267" s="3" t="s">
        <v>857</v>
      </c>
      <c r="C267" s="1" t="s">
        <v>858</v>
      </c>
      <c r="D267" s="1">
        <v>19</v>
      </c>
      <c r="E267" t="s">
        <v>859</v>
      </c>
      <c r="F267" s="3">
        <v>1</v>
      </c>
      <c r="G267" s="33">
        <v>32874</v>
      </c>
      <c r="H267" s="33">
        <v>32874</v>
      </c>
      <c r="I267" s="1"/>
      <c r="J267" s="1"/>
      <c r="K267" s="1"/>
      <c r="L267" s="1"/>
      <c r="M267" s="1"/>
      <c r="P267" s="3"/>
      <c r="R267" s="1"/>
      <c r="S267" s="1"/>
    </row>
    <row r="268" spans="1:19" ht="14.7" x14ac:dyDescent="0.65">
      <c r="A268" s="34">
        <v>267</v>
      </c>
      <c r="B268" s="3" t="s">
        <v>860</v>
      </c>
      <c r="C268" s="1" t="s">
        <v>861</v>
      </c>
      <c r="D268" s="1">
        <v>19</v>
      </c>
      <c r="E268" t="s">
        <v>862</v>
      </c>
      <c r="F268" s="3">
        <v>1</v>
      </c>
      <c r="G268" s="33">
        <v>32874</v>
      </c>
      <c r="H268" s="33">
        <v>32874</v>
      </c>
      <c r="I268" s="1"/>
      <c r="J268" s="1"/>
      <c r="K268" s="1"/>
      <c r="L268" s="1"/>
      <c r="M268" s="1"/>
      <c r="P268" s="3"/>
      <c r="R268" s="1"/>
      <c r="S268" s="1"/>
    </row>
    <row r="269" spans="1:19" ht="14.7" x14ac:dyDescent="0.65">
      <c r="A269" s="34">
        <v>268</v>
      </c>
      <c r="B269" s="3" t="s">
        <v>863</v>
      </c>
      <c r="C269" s="1" t="s">
        <v>864</v>
      </c>
      <c r="D269" s="1">
        <v>19</v>
      </c>
      <c r="E269" t="s">
        <v>865</v>
      </c>
      <c r="F269" s="3">
        <v>1</v>
      </c>
      <c r="G269" s="33">
        <v>32874</v>
      </c>
      <c r="H269" s="33">
        <v>32874</v>
      </c>
      <c r="I269" s="1"/>
      <c r="J269" s="1"/>
      <c r="K269" s="1"/>
      <c r="L269" s="1"/>
      <c r="M269" s="1"/>
      <c r="P269" s="3"/>
      <c r="R269" s="1"/>
      <c r="S269" s="1"/>
    </row>
    <row r="270" spans="1:19" ht="14.7" x14ac:dyDescent="0.65">
      <c r="A270" s="34">
        <v>269</v>
      </c>
      <c r="B270" s="3" t="s">
        <v>866</v>
      </c>
      <c r="C270" s="1" t="s">
        <v>867</v>
      </c>
      <c r="D270" s="1">
        <v>19</v>
      </c>
      <c r="E270" t="s">
        <v>868</v>
      </c>
      <c r="F270" s="3">
        <v>1</v>
      </c>
      <c r="G270" s="33">
        <v>32874</v>
      </c>
      <c r="H270" s="33">
        <v>32874</v>
      </c>
      <c r="I270" s="1"/>
      <c r="J270" s="1"/>
      <c r="K270" s="1"/>
      <c r="L270" s="1"/>
      <c r="M270" s="1"/>
      <c r="P270" s="3"/>
      <c r="R270" s="1"/>
      <c r="S270" s="1"/>
    </row>
    <row r="271" spans="1:19" ht="14.7" x14ac:dyDescent="0.65">
      <c r="A271" s="34">
        <v>270</v>
      </c>
      <c r="B271" s="3" t="s">
        <v>869</v>
      </c>
      <c r="C271" s="1" t="s">
        <v>870</v>
      </c>
      <c r="D271" s="1">
        <v>19</v>
      </c>
      <c r="E271" t="s">
        <v>871</v>
      </c>
      <c r="F271" s="3">
        <v>1</v>
      </c>
      <c r="G271" s="33">
        <v>32874</v>
      </c>
      <c r="H271" s="33">
        <v>32874</v>
      </c>
      <c r="I271" s="1"/>
      <c r="J271" s="1"/>
      <c r="K271" s="1"/>
      <c r="L271" s="1"/>
      <c r="M271" s="1"/>
      <c r="P271" s="3"/>
      <c r="R271" s="1"/>
      <c r="S271" s="1"/>
    </row>
    <row r="272" spans="1:19" ht="14.7" x14ac:dyDescent="0.65">
      <c r="A272" s="34">
        <v>271</v>
      </c>
      <c r="B272" s="3" t="s">
        <v>872</v>
      </c>
      <c r="C272" s="1" t="s">
        <v>873</v>
      </c>
      <c r="D272" s="1">
        <v>19</v>
      </c>
      <c r="E272" t="s">
        <v>874</v>
      </c>
      <c r="F272" s="3">
        <v>1</v>
      </c>
      <c r="G272" s="33">
        <v>32874</v>
      </c>
      <c r="H272" s="33">
        <v>32874</v>
      </c>
      <c r="I272" s="1"/>
      <c r="J272" s="1"/>
      <c r="K272" s="1"/>
      <c r="L272" s="1"/>
      <c r="M272" s="1"/>
      <c r="P272" s="3"/>
      <c r="R272" s="1"/>
      <c r="S272" s="1"/>
    </row>
    <row r="273" spans="1:19" ht="14.7" x14ac:dyDescent="0.65">
      <c r="A273" s="34">
        <v>272</v>
      </c>
      <c r="B273" s="3" t="s">
        <v>875</v>
      </c>
      <c r="C273" s="1" t="s">
        <v>876</v>
      </c>
      <c r="D273" s="1">
        <v>19</v>
      </c>
      <c r="E273" t="s">
        <v>877</v>
      </c>
      <c r="F273" s="3">
        <v>1</v>
      </c>
      <c r="G273" s="33">
        <v>32874</v>
      </c>
      <c r="H273" s="33">
        <v>32874</v>
      </c>
      <c r="I273" s="1"/>
      <c r="J273" s="1"/>
      <c r="K273" s="1"/>
      <c r="L273" s="1"/>
      <c r="M273" s="1"/>
      <c r="P273" s="3"/>
      <c r="R273" s="1"/>
      <c r="S273" s="1"/>
    </row>
    <row r="274" spans="1:19" ht="14.7" x14ac:dyDescent="0.65">
      <c r="A274" s="34">
        <v>273</v>
      </c>
      <c r="B274" s="3" t="s">
        <v>878</v>
      </c>
      <c r="C274" s="1" t="s">
        <v>879</v>
      </c>
      <c r="D274" s="1">
        <v>20</v>
      </c>
      <c r="E274" t="s">
        <v>880</v>
      </c>
      <c r="F274" s="3">
        <v>1</v>
      </c>
      <c r="G274" s="33">
        <v>32874</v>
      </c>
      <c r="H274" s="33">
        <v>32874</v>
      </c>
      <c r="I274" s="1"/>
      <c r="J274" s="1"/>
      <c r="K274" s="1"/>
      <c r="L274" s="1"/>
      <c r="M274" s="1"/>
      <c r="P274" s="3"/>
      <c r="R274" s="1"/>
      <c r="S274" s="1"/>
    </row>
    <row r="275" spans="1:19" ht="14.7" x14ac:dyDescent="0.65">
      <c r="A275" s="34">
        <v>274</v>
      </c>
      <c r="B275" s="3" t="s">
        <v>882</v>
      </c>
      <c r="C275" s="1" t="s">
        <v>883</v>
      </c>
      <c r="D275" s="1">
        <v>20</v>
      </c>
      <c r="E275" t="s">
        <v>884</v>
      </c>
      <c r="F275" s="3">
        <v>1</v>
      </c>
      <c r="G275" s="33">
        <v>32874</v>
      </c>
      <c r="H275" s="33">
        <v>32874</v>
      </c>
      <c r="I275" s="1"/>
      <c r="J275" s="1"/>
      <c r="K275" s="1"/>
      <c r="L275" s="1"/>
      <c r="M275" s="1"/>
      <c r="P275" s="3"/>
      <c r="R275" s="1"/>
      <c r="S275" s="1"/>
    </row>
    <row r="276" spans="1:19" ht="14.7" x14ac:dyDescent="0.65">
      <c r="A276" s="34">
        <v>275</v>
      </c>
      <c r="B276" s="3" t="s">
        <v>885</v>
      </c>
      <c r="C276" s="1" t="s">
        <v>886</v>
      </c>
      <c r="D276" s="1">
        <v>20</v>
      </c>
      <c r="E276" t="s">
        <v>887</v>
      </c>
      <c r="F276" s="3">
        <v>1</v>
      </c>
      <c r="G276" s="33">
        <v>32874</v>
      </c>
      <c r="H276" s="33">
        <v>32874</v>
      </c>
      <c r="I276" s="1"/>
      <c r="J276" s="1"/>
      <c r="K276" s="1"/>
      <c r="L276" s="1"/>
      <c r="M276" s="1"/>
      <c r="P276" s="3"/>
      <c r="R276" s="1"/>
      <c r="S276" s="1"/>
    </row>
    <row r="277" spans="1:19" ht="14.7" x14ac:dyDescent="0.65">
      <c r="A277" s="34">
        <v>276</v>
      </c>
      <c r="B277" s="3" t="s">
        <v>888</v>
      </c>
      <c r="C277" s="1" t="s">
        <v>889</v>
      </c>
      <c r="D277" s="1">
        <v>20</v>
      </c>
      <c r="E277" t="s">
        <v>890</v>
      </c>
      <c r="F277" s="3">
        <v>1</v>
      </c>
      <c r="G277" s="33">
        <v>32874</v>
      </c>
      <c r="H277" s="33">
        <v>32874</v>
      </c>
      <c r="I277" s="1"/>
      <c r="J277" s="1"/>
      <c r="K277" s="1"/>
      <c r="L277" s="1"/>
      <c r="M277" s="1"/>
      <c r="P277" s="3"/>
      <c r="R277" s="1"/>
      <c r="S277" s="1"/>
    </row>
    <row r="278" spans="1:19" ht="14.7" x14ac:dyDescent="0.65">
      <c r="A278" s="34">
        <v>277</v>
      </c>
      <c r="B278" s="3" t="s">
        <v>891</v>
      </c>
      <c r="C278" s="1" t="s">
        <v>892</v>
      </c>
      <c r="D278" s="1">
        <v>20</v>
      </c>
      <c r="E278" t="s">
        <v>893</v>
      </c>
      <c r="F278" s="3">
        <v>1</v>
      </c>
      <c r="G278" s="33">
        <v>32874</v>
      </c>
      <c r="H278" s="33">
        <v>32874</v>
      </c>
      <c r="I278" s="1"/>
      <c r="J278" s="1"/>
      <c r="K278" s="1"/>
      <c r="L278" s="1"/>
      <c r="M278" s="1"/>
      <c r="P278" s="3"/>
      <c r="R278" s="1"/>
      <c r="S278" s="1"/>
    </row>
    <row r="279" spans="1:19" ht="14.7" x14ac:dyDescent="0.65">
      <c r="A279" s="34">
        <v>278</v>
      </c>
      <c r="B279" s="3" t="s">
        <v>894</v>
      </c>
      <c r="C279" s="1" t="s">
        <v>895</v>
      </c>
      <c r="D279" s="1">
        <v>20</v>
      </c>
      <c r="E279" t="s">
        <v>896</v>
      </c>
      <c r="F279" s="3">
        <v>1</v>
      </c>
      <c r="G279" s="33">
        <v>32874</v>
      </c>
      <c r="H279" s="33">
        <v>32874</v>
      </c>
      <c r="I279" s="1"/>
      <c r="J279" s="1"/>
      <c r="K279" s="1"/>
      <c r="L279" s="1"/>
      <c r="M279" s="1"/>
      <c r="P279" s="3"/>
      <c r="R279" s="1"/>
      <c r="S279" s="1"/>
    </row>
    <row r="280" spans="1:19" ht="14.7" x14ac:dyDescent="0.65">
      <c r="A280" s="34">
        <v>279</v>
      </c>
      <c r="B280" s="3" t="s">
        <v>897</v>
      </c>
      <c r="C280" s="1" t="s">
        <v>898</v>
      </c>
      <c r="D280" s="1">
        <v>20</v>
      </c>
      <c r="E280" t="s">
        <v>899</v>
      </c>
      <c r="F280" s="3">
        <v>1</v>
      </c>
      <c r="G280" s="33">
        <v>32874</v>
      </c>
      <c r="H280" s="33">
        <v>32874</v>
      </c>
      <c r="I280" s="1"/>
      <c r="J280" s="1"/>
      <c r="K280" s="1"/>
      <c r="L280" s="1"/>
      <c r="M280" s="1"/>
      <c r="P280" s="3"/>
      <c r="R280" s="1"/>
      <c r="S280" s="1"/>
    </row>
    <row r="281" spans="1:19" ht="14.7" x14ac:dyDescent="0.65">
      <c r="A281" s="34">
        <v>280</v>
      </c>
      <c r="B281" s="3" t="s">
        <v>900</v>
      </c>
      <c r="C281" s="1" t="s">
        <v>901</v>
      </c>
      <c r="D281" s="1">
        <v>20</v>
      </c>
      <c r="E281" t="s">
        <v>902</v>
      </c>
      <c r="F281" s="3">
        <v>1</v>
      </c>
      <c r="G281" s="33">
        <v>32874</v>
      </c>
      <c r="H281" s="33">
        <v>32874</v>
      </c>
      <c r="I281" s="1"/>
      <c r="J281" s="1"/>
      <c r="K281" s="1"/>
      <c r="L281" s="1"/>
      <c r="M281" s="1"/>
      <c r="P281" s="3"/>
      <c r="R281" s="1"/>
      <c r="S281" s="1"/>
    </row>
    <row r="282" spans="1:19" ht="14.7" x14ac:dyDescent="0.65">
      <c r="A282" s="34">
        <v>281</v>
      </c>
      <c r="B282" s="3" t="s">
        <v>903</v>
      </c>
      <c r="C282" s="1" t="s">
        <v>904</v>
      </c>
      <c r="D282" s="1">
        <v>20</v>
      </c>
      <c r="E282" t="s">
        <v>905</v>
      </c>
      <c r="F282" s="3">
        <v>1</v>
      </c>
      <c r="G282" s="33">
        <v>32874</v>
      </c>
      <c r="H282" s="33">
        <v>32874</v>
      </c>
      <c r="I282" s="1"/>
      <c r="J282" s="1"/>
      <c r="K282" s="1"/>
      <c r="L282" s="1"/>
      <c r="M282" s="1"/>
      <c r="P282" s="3"/>
      <c r="R282" s="1"/>
      <c r="S282" s="1"/>
    </row>
    <row r="283" spans="1:19" ht="14.7" x14ac:dyDescent="0.65">
      <c r="A283" s="34">
        <v>282</v>
      </c>
      <c r="B283" s="3" t="s">
        <v>906</v>
      </c>
      <c r="C283" s="1" t="s">
        <v>907</v>
      </c>
      <c r="D283" s="1">
        <v>20</v>
      </c>
      <c r="E283" t="s">
        <v>908</v>
      </c>
      <c r="F283" s="3">
        <v>1</v>
      </c>
      <c r="G283" s="33">
        <v>32874</v>
      </c>
      <c r="H283" s="33">
        <v>32874</v>
      </c>
      <c r="I283" s="1"/>
      <c r="J283" s="1"/>
      <c r="K283" s="1"/>
      <c r="L283" s="1"/>
      <c r="M283" s="1"/>
      <c r="P283" s="3"/>
      <c r="R283" s="1"/>
      <c r="S283" s="1"/>
    </row>
    <row r="284" spans="1:19" ht="14.7" x14ac:dyDescent="0.65">
      <c r="A284" s="34">
        <v>283</v>
      </c>
      <c r="B284" s="3" t="s">
        <v>909</v>
      </c>
      <c r="C284" s="1" t="s">
        <v>910</v>
      </c>
      <c r="D284" s="1">
        <v>20</v>
      </c>
      <c r="E284" t="s">
        <v>911</v>
      </c>
      <c r="F284" s="3">
        <v>1</v>
      </c>
      <c r="G284" s="33">
        <v>32874</v>
      </c>
      <c r="H284" s="33">
        <v>32874</v>
      </c>
      <c r="I284" s="1"/>
      <c r="J284" s="1"/>
      <c r="K284" s="1"/>
      <c r="L284" s="1"/>
      <c r="M284" s="1"/>
      <c r="P284" s="3"/>
      <c r="R284" s="1"/>
      <c r="S284" s="1"/>
    </row>
    <row r="285" spans="1:19" ht="14.7" x14ac:dyDescent="0.65">
      <c r="A285" s="34">
        <v>284</v>
      </c>
      <c r="B285" s="3" t="s">
        <v>912</v>
      </c>
      <c r="C285" s="1" t="s">
        <v>913</v>
      </c>
      <c r="D285" s="1">
        <v>20</v>
      </c>
      <c r="E285" t="s">
        <v>914</v>
      </c>
      <c r="F285" s="3">
        <v>1</v>
      </c>
      <c r="G285" s="33">
        <v>32874</v>
      </c>
      <c r="H285" s="33">
        <v>32874</v>
      </c>
      <c r="I285" s="1"/>
      <c r="J285" s="1"/>
      <c r="K285" s="1"/>
      <c r="L285" s="1"/>
      <c r="M285" s="1"/>
      <c r="P285" s="3"/>
      <c r="R285" s="1"/>
      <c r="S285" s="1"/>
    </row>
    <row r="286" spans="1:19" ht="14.7" x14ac:dyDescent="0.65">
      <c r="A286" s="34">
        <v>285</v>
      </c>
      <c r="B286" s="3" t="s">
        <v>915</v>
      </c>
      <c r="C286" s="1" t="s">
        <v>916</v>
      </c>
      <c r="D286" s="1">
        <v>21</v>
      </c>
      <c r="E286" t="s">
        <v>917</v>
      </c>
      <c r="F286" s="3">
        <v>1</v>
      </c>
      <c r="G286" s="33">
        <v>32874</v>
      </c>
      <c r="H286" s="33">
        <v>32874</v>
      </c>
      <c r="I286" s="1"/>
      <c r="J286" s="1"/>
      <c r="K286" s="1"/>
      <c r="L286" s="1"/>
      <c r="M286" s="1"/>
      <c r="P286" s="3"/>
      <c r="R286" s="1"/>
      <c r="S286" s="1"/>
    </row>
    <row r="287" spans="1:19" ht="14.7" x14ac:dyDescent="0.65">
      <c r="A287" s="34">
        <v>286</v>
      </c>
      <c r="B287" s="3" t="s">
        <v>919</v>
      </c>
      <c r="C287" s="1" t="s">
        <v>920</v>
      </c>
      <c r="D287" s="1">
        <v>21</v>
      </c>
      <c r="E287" t="s">
        <v>921</v>
      </c>
      <c r="F287" s="3">
        <v>1</v>
      </c>
      <c r="G287" s="33">
        <v>32874</v>
      </c>
      <c r="H287" s="33">
        <v>32874</v>
      </c>
      <c r="I287" s="1"/>
      <c r="J287" s="1"/>
      <c r="K287" s="1"/>
      <c r="L287" s="1"/>
      <c r="M287" s="1"/>
      <c r="P287" s="3"/>
      <c r="R287" s="1"/>
      <c r="S287" s="1"/>
    </row>
    <row r="288" spans="1:19" ht="14.7" x14ac:dyDescent="0.65">
      <c r="A288" s="34">
        <v>287</v>
      </c>
      <c r="B288" s="3" t="s">
        <v>922</v>
      </c>
      <c r="C288" s="1" t="s">
        <v>923</v>
      </c>
      <c r="D288" s="1">
        <v>21</v>
      </c>
      <c r="E288" t="s">
        <v>924</v>
      </c>
      <c r="F288" s="3">
        <v>1</v>
      </c>
      <c r="G288" s="33">
        <v>32874</v>
      </c>
      <c r="H288" s="33">
        <v>32874</v>
      </c>
      <c r="I288" s="1"/>
      <c r="J288" s="1"/>
      <c r="K288" s="1"/>
      <c r="L288" s="1"/>
      <c r="M288" s="1"/>
      <c r="P288" s="3"/>
      <c r="R288" s="1"/>
      <c r="S288" s="1"/>
    </row>
    <row r="289" spans="1:19" ht="14.7" x14ac:dyDescent="0.65">
      <c r="A289" s="34">
        <v>288</v>
      </c>
      <c r="B289" s="3" t="s">
        <v>925</v>
      </c>
      <c r="C289" s="1" t="s">
        <v>926</v>
      </c>
      <c r="D289" s="1">
        <v>21</v>
      </c>
      <c r="E289" t="s">
        <v>927</v>
      </c>
      <c r="F289" s="3">
        <v>1</v>
      </c>
      <c r="G289" s="33">
        <v>32874</v>
      </c>
      <c r="H289" s="33">
        <v>32874</v>
      </c>
      <c r="I289" s="1"/>
      <c r="J289" s="1"/>
      <c r="K289" s="1"/>
      <c r="L289" s="1"/>
      <c r="M289" s="1"/>
      <c r="P289" s="3"/>
      <c r="R289" s="1"/>
      <c r="S289" s="1"/>
    </row>
    <row r="290" spans="1:19" ht="14.7" x14ac:dyDescent="0.65">
      <c r="A290" s="34">
        <v>289</v>
      </c>
      <c r="B290" s="3" t="s">
        <v>928</v>
      </c>
      <c r="C290" s="1" t="s">
        <v>929</v>
      </c>
      <c r="D290" s="1">
        <v>21</v>
      </c>
      <c r="E290" t="s">
        <v>930</v>
      </c>
      <c r="F290" s="3">
        <v>1</v>
      </c>
      <c r="G290" s="33">
        <v>32874</v>
      </c>
      <c r="H290" s="33">
        <v>32874</v>
      </c>
      <c r="I290" s="1"/>
      <c r="J290" s="1"/>
      <c r="K290" s="1"/>
      <c r="L290" s="1"/>
      <c r="M290" s="1"/>
      <c r="P290" s="3"/>
      <c r="R290" s="1"/>
      <c r="S290" s="1"/>
    </row>
    <row r="291" spans="1:19" ht="14.7" x14ac:dyDescent="0.65">
      <c r="A291" s="34">
        <v>290</v>
      </c>
      <c r="B291" s="3" t="s">
        <v>931</v>
      </c>
      <c r="C291" s="1" t="s">
        <v>932</v>
      </c>
      <c r="D291" s="1">
        <v>21</v>
      </c>
      <c r="E291" t="s">
        <v>933</v>
      </c>
      <c r="F291" s="3">
        <v>1</v>
      </c>
      <c r="G291" s="33">
        <v>32874</v>
      </c>
      <c r="H291" s="33">
        <v>32874</v>
      </c>
      <c r="I291" s="1"/>
      <c r="J291" s="1"/>
      <c r="K291" s="1"/>
      <c r="L291" s="1"/>
      <c r="M291" s="1"/>
      <c r="P291" s="3"/>
      <c r="R291" s="1"/>
      <c r="S291" s="1"/>
    </row>
    <row r="292" spans="1:19" ht="14.7" x14ac:dyDescent="0.65">
      <c r="A292" s="34">
        <v>291</v>
      </c>
      <c r="B292" s="3" t="s">
        <v>934</v>
      </c>
      <c r="C292" s="1" t="s">
        <v>935</v>
      </c>
      <c r="D292" s="1">
        <v>21</v>
      </c>
      <c r="E292" t="s">
        <v>936</v>
      </c>
      <c r="F292" s="3">
        <v>1</v>
      </c>
      <c r="G292" s="33">
        <v>32874</v>
      </c>
      <c r="H292" s="33">
        <v>32874</v>
      </c>
      <c r="I292" s="1"/>
      <c r="J292" s="1"/>
      <c r="K292" s="1"/>
      <c r="L292" s="1"/>
      <c r="M292" s="1"/>
      <c r="P292" s="3"/>
      <c r="R292" s="1"/>
      <c r="S292" s="1"/>
    </row>
    <row r="293" spans="1:19" ht="14.7" x14ac:dyDescent="0.65">
      <c r="A293" s="34">
        <v>292</v>
      </c>
      <c r="B293" s="3" t="s">
        <v>937</v>
      </c>
      <c r="C293" s="1" t="s">
        <v>938</v>
      </c>
      <c r="D293" s="1">
        <v>21</v>
      </c>
      <c r="E293" t="s">
        <v>939</v>
      </c>
      <c r="F293" s="3">
        <v>1</v>
      </c>
      <c r="G293" s="33">
        <v>32874</v>
      </c>
      <c r="H293" s="33">
        <v>32874</v>
      </c>
      <c r="I293" s="1"/>
      <c r="J293" s="1"/>
      <c r="K293" s="1"/>
      <c r="L293" s="1"/>
      <c r="M293" s="1"/>
      <c r="P293" s="3"/>
      <c r="R293" s="1"/>
      <c r="S293" s="1"/>
    </row>
    <row r="294" spans="1:19" ht="14.7" x14ac:dyDescent="0.65">
      <c r="A294" s="34">
        <v>293</v>
      </c>
      <c r="B294" s="3" t="s">
        <v>940</v>
      </c>
      <c r="C294" s="1" t="s">
        <v>941</v>
      </c>
      <c r="D294" s="1">
        <v>21</v>
      </c>
      <c r="E294" t="s">
        <v>942</v>
      </c>
      <c r="F294" s="3">
        <v>1</v>
      </c>
      <c r="G294" s="33">
        <v>32874</v>
      </c>
      <c r="H294" s="33">
        <v>32874</v>
      </c>
      <c r="I294" s="1"/>
      <c r="J294" s="1"/>
      <c r="K294" s="1"/>
      <c r="L294" s="1"/>
      <c r="M294" s="1"/>
      <c r="P294" s="3"/>
      <c r="R294" s="1"/>
      <c r="S294" s="1"/>
    </row>
    <row r="295" spans="1:19" ht="14.7" x14ac:dyDescent="0.65">
      <c r="A295" s="34">
        <v>294</v>
      </c>
      <c r="B295" s="3" t="s">
        <v>943</v>
      </c>
      <c r="C295" s="1" t="s">
        <v>944</v>
      </c>
      <c r="D295" s="1">
        <v>21</v>
      </c>
      <c r="E295" t="s">
        <v>945</v>
      </c>
      <c r="F295" s="3">
        <v>1</v>
      </c>
      <c r="G295" s="33">
        <v>32874</v>
      </c>
      <c r="H295" s="33">
        <v>32874</v>
      </c>
      <c r="I295" s="1"/>
      <c r="J295" s="1"/>
      <c r="K295" s="1"/>
      <c r="L295" s="1"/>
      <c r="M295" s="1"/>
      <c r="P295" s="3"/>
      <c r="R295" s="1"/>
      <c r="S295" s="1"/>
    </row>
    <row r="296" spans="1:19" ht="14.7" x14ac:dyDescent="0.65">
      <c r="A296" s="34">
        <v>295</v>
      </c>
      <c r="B296" s="3" t="s">
        <v>946</v>
      </c>
      <c r="C296" s="1" t="s">
        <v>947</v>
      </c>
      <c r="D296" s="1">
        <v>21</v>
      </c>
      <c r="E296" t="s">
        <v>948</v>
      </c>
      <c r="F296" s="3">
        <v>1</v>
      </c>
      <c r="G296" s="33">
        <v>32874</v>
      </c>
      <c r="H296" s="33">
        <v>32874</v>
      </c>
      <c r="I296" s="1"/>
      <c r="J296" s="1"/>
      <c r="K296" s="1"/>
      <c r="L296" s="1"/>
      <c r="M296" s="1"/>
      <c r="P296" s="3"/>
      <c r="R296" s="1"/>
      <c r="S296" s="1"/>
    </row>
    <row r="297" spans="1:19" ht="14.7" x14ac:dyDescent="0.65">
      <c r="A297" s="34">
        <v>296</v>
      </c>
      <c r="B297" s="3" t="s">
        <v>949</v>
      </c>
      <c r="C297" s="1" t="s">
        <v>950</v>
      </c>
      <c r="D297" s="1">
        <v>21</v>
      </c>
      <c r="E297" t="s">
        <v>951</v>
      </c>
      <c r="F297" s="3">
        <v>1</v>
      </c>
      <c r="G297" s="33">
        <v>32874</v>
      </c>
      <c r="H297" s="33">
        <v>32874</v>
      </c>
      <c r="I297" s="1"/>
      <c r="J297" s="1"/>
      <c r="K297" s="1"/>
      <c r="L297" s="1"/>
      <c r="M297" s="1"/>
      <c r="P297" s="3"/>
      <c r="R297" s="1"/>
      <c r="S297" s="1"/>
    </row>
    <row r="298" spans="1:19" ht="14.7" x14ac:dyDescent="0.65">
      <c r="A298" s="34">
        <v>297</v>
      </c>
      <c r="B298" s="3" t="s">
        <v>952</v>
      </c>
      <c r="C298" s="1" t="s">
        <v>953</v>
      </c>
      <c r="D298" s="1">
        <v>21</v>
      </c>
      <c r="E298" t="s">
        <v>954</v>
      </c>
      <c r="F298" s="3">
        <v>1</v>
      </c>
      <c r="G298" s="33">
        <v>32874</v>
      </c>
      <c r="H298" s="33">
        <v>32874</v>
      </c>
      <c r="I298" s="1"/>
      <c r="J298" s="1"/>
      <c r="K298" s="1"/>
      <c r="L298" s="1"/>
      <c r="M298" s="1"/>
      <c r="P298" s="3"/>
      <c r="R298" s="1"/>
      <c r="S298" s="1"/>
    </row>
    <row r="299" spans="1:19" ht="14.7" x14ac:dyDescent="0.65">
      <c r="A299" s="34">
        <v>298</v>
      </c>
      <c r="B299" s="3" t="s">
        <v>955</v>
      </c>
      <c r="C299" s="1" t="s">
        <v>956</v>
      </c>
      <c r="D299" s="1">
        <v>21</v>
      </c>
      <c r="E299" t="s">
        <v>957</v>
      </c>
      <c r="F299" s="3">
        <v>1</v>
      </c>
      <c r="G299" s="33">
        <v>32874</v>
      </c>
      <c r="H299" s="33">
        <v>32874</v>
      </c>
      <c r="I299" s="1"/>
      <c r="J299" s="1"/>
      <c r="K299" s="1"/>
      <c r="L299" s="1"/>
      <c r="M299" s="1"/>
      <c r="P299" s="3"/>
      <c r="R299" s="1"/>
      <c r="S299" s="1"/>
    </row>
    <row r="300" spans="1:19" ht="14.7" x14ac:dyDescent="0.65">
      <c r="A300" s="34">
        <v>299</v>
      </c>
      <c r="B300" s="3" t="s">
        <v>958</v>
      </c>
      <c r="C300" s="1" t="s">
        <v>959</v>
      </c>
      <c r="D300" s="1">
        <v>21</v>
      </c>
      <c r="E300" t="s">
        <v>960</v>
      </c>
      <c r="F300" s="3">
        <v>1</v>
      </c>
      <c r="G300" s="33">
        <v>32874</v>
      </c>
      <c r="H300" s="33">
        <v>32874</v>
      </c>
      <c r="I300" s="1"/>
      <c r="J300" s="1"/>
      <c r="K300" s="1"/>
      <c r="L300" s="1"/>
      <c r="M300" s="1"/>
      <c r="P300" s="3"/>
      <c r="R300" s="1"/>
      <c r="S300" s="1"/>
    </row>
    <row r="301" spans="1:19" ht="14.7" x14ac:dyDescent="0.65">
      <c r="A301" s="34">
        <v>300</v>
      </c>
      <c r="B301" s="3" t="s">
        <v>961</v>
      </c>
      <c r="C301" s="1" t="s">
        <v>962</v>
      </c>
      <c r="D301" s="1">
        <v>21</v>
      </c>
      <c r="E301" t="s">
        <v>963</v>
      </c>
      <c r="F301" s="3">
        <v>1</v>
      </c>
      <c r="G301" s="33">
        <v>32874</v>
      </c>
      <c r="H301" s="33">
        <v>32874</v>
      </c>
      <c r="I301" s="1"/>
      <c r="J301" s="1"/>
      <c r="K301" s="1"/>
      <c r="L301" s="1"/>
      <c r="M301" s="1"/>
      <c r="P301" s="3"/>
      <c r="R301" s="1"/>
      <c r="S301" s="1"/>
    </row>
    <row r="302" spans="1:19" ht="14.7" x14ac:dyDescent="0.65">
      <c r="A302" s="34">
        <v>301</v>
      </c>
      <c r="B302" s="3" t="s">
        <v>964</v>
      </c>
      <c r="C302" s="1" t="s">
        <v>965</v>
      </c>
      <c r="D302" s="1">
        <v>21</v>
      </c>
      <c r="E302" t="s">
        <v>966</v>
      </c>
      <c r="F302" s="3">
        <v>1</v>
      </c>
      <c r="G302" s="33">
        <v>32874</v>
      </c>
      <c r="H302" s="33">
        <v>32874</v>
      </c>
      <c r="I302" s="1"/>
      <c r="J302" s="1"/>
      <c r="K302" s="1"/>
      <c r="L302" s="1"/>
      <c r="M302" s="1"/>
      <c r="P302" s="3"/>
      <c r="R302" s="1"/>
      <c r="S302" s="1"/>
    </row>
    <row r="303" spans="1:19" ht="14.7" x14ac:dyDescent="0.65">
      <c r="A303" s="34">
        <v>302</v>
      </c>
      <c r="B303" s="3" t="s">
        <v>967</v>
      </c>
      <c r="C303" s="1" t="s">
        <v>968</v>
      </c>
      <c r="D303" s="1">
        <v>21</v>
      </c>
      <c r="E303" t="s">
        <v>969</v>
      </c>
      <c r="F303" s="3">
        <v>1</v>
      </c>
      <c r="G303" s="33">
        <v>32874</v>
      </c>
      <c r="H303" s="33">
        <v>32874</v>
      </c>
      <c r="I303" s="1"/>
      <c r="J303" s="1"/>
      <c r="K303" s="1"/>
      <c r="L303" s="1"/>
      <c r="M303" s="1"/>
      <c r="P303" s="3"/>
      <c r="R303" s="1"/>
      <c r="S303" s="1"/>
    </row>
    <row r="304" spans="1:19" ht="14.7" x14ac:dyDescent="0.65">
      <c r="A304" s="34">
        <v>303</v>
      </c>
      <c r="B304" s="3" t="s">
        <v>970</v>
      </c>
      <c r="C304" s="1" t="s">
        <v>971</v>
      </c>
      <c r="D304" s="1">
        <v>21</v>
      </c>
      <c r="E304" t="s">
        <v>972</v>
      </c>
      <c r="F304" s="3">
        <v>1</v>
      </c>
      <c r="G304" s="33">
        <v>32874</v>
      </c>
      <c r="H304" s="33">
        <v>32874</v>
      </c>
      <c r="I304" s="1"/>
      <c r="J304" s="1"/>
      <c r="K304" s="1"/>
      <c r="L304" s="1"/>
      <c r="M304" s="1"/>
      <c r="P304" s="3"/>
      <c r="R304" s="1"/>
      <c r="S304" s="1"/>
    </row>
    <row r="305" spans="1:19" ht="14.7" x14ac:dyDescent="0.65">
      <c r="A305" s="34">
        <v>304</v>
      </c>
      <c r="B305" s="3" t="s">
        <v>973</v>
      </c>
      <c r="C305" s="1" t="s">
        <v>974</v>
      </c>
      <c r="D305" s="1">
        <v>21</v>
      </c>
      <c r="E305" t="s">
        <v>975</v>
      </c>
      <c r="F305" s="3">
        <v>1</v>
      </c>
      <c r="G305" s="33">
        <v>32874</v>
      </c>
      <c r="H305" s="33">
        <v>32874</v>
      </c>
      <c r="I305" s="1"/>
      <c r="J305" s="1"/>
      <c r="K305" s="1"/>
      <c r="L305" s="1"/>
      <c r="M305" s="1"/>
      <c r="P305" s="3"/>
      <c r="R305" s="1"/>
      <c r="S305" s="1"/>
    </row>
    <row r="306" spans="1:19" ht="14.7" x14ac:dyDescent="0.65">
      <c r="A306" s="34">
        <v>305</v>
      </c>
      <c r="B306" s="3" t="s">
        <v>976</v>
      </c>
      <c r="C306" s="1" t="s">
        <v>977</v>
      </c>
      <c r="D306" s="1">
        <v>21</v>
      </c>
      <c r="E306" t="s">
        <v>978</v>
      </c>
      <c r="F306" s="3">
        <v>1</v>
      </c>
      <c r="G306" s="33">
        <v>32874</v>
      </c>
      <c r="H306" s="33">
        <v>32874</v>
      </c>
      <c r="I306" s="1"/>
      <c r="J306" s="1"/>
      <c r="K306" s="1"/>
      <c r="L306" s="1"/>
      <c r="M306" s="1"/>
      <c r="P306" s="3"/>
      <c r="R306" s="1"/>
      <c r="S306" s="1"/>
    </row>
    <row r="307" spans="1:19" ht="14.7" x14ac:dyDescent="0.65">
      <c r="A307" s="34">
        <v>306</v>
      </c>
      <c r="B307" s="3" t="s">
        <v>979</v>
      </c>
      <c r="C307" s="1" t="s">
        <v>980</v>
      </c>
      <c r="D307" s="1">
        <v>21</v>
      </c>
      <c r="E307" t="s">
        <v>981</v>
      </c>
      <c r="F307" s="3">
        <v>1</v>
      </c>
      <c r="G307" s="33">
        <v>32874</v>
      </c>
      <c r="H307" s="33">
        <v>32874</v>
      </c>
      <c r="I307" s="1"/>
      <c r="J307" s="1"/>
      <c r="K307" s="1"/>
      <c r="L307" s="1"/>
      <c r="M307" s="1"/>
      <c r="P307" s="3"/>
      <c r="R307" s="1"/>
      <c r="S307" s="1"/>
    </row>
    <row r="308" spans="1:19" ht="14.7" x14ac:dyDescent="0.65">
      <c r="A308" s="34">
        <v>307</v>
      </c>
      <c r="B308" s="3" t="s">
        <v>982</v>
      </c>
      <c r="C308" s="1" t="s">
        <v>983</v>
      </c>
      <c r="D308" s="1">
        <v>21</v>
      </c>
      <c r="E308" t="s">
        <v>984</v>
      </c>
      <c r="F308" s="3">
        <v>1</v>
      </c>
      <c r="G308" s="33">
        <v>32874</v>
      </c>
      <c r="H308" s="33">
        <v>32874</v>
      </c>
      <c r="I308" s="1"/>
      <c r="J308" s="1"/>
      <c r="K308" s="1"/>
      <c r="L308" s="1"/>
      <c r="M308" s="1"/>
      <c r="P308" s="3"/>
      <c r="R308" s="1"/>
      <c r="S308" s="1"/>
    </row>
    <row r="309" spans="1:19" ht="14.7" x14ac:dyDescent="0.65">
      <c r="A309" s="34">
        <v>308</v>
      </c>
      <c r="B309" s="3" t="s">
        <v>985</v>
      </c>
      <c r="C309" s="1" t="s">
        <v>986</v>
      </c>
      <c r="D309" s="1">
        <v>21</v>
      </c>
      <c r="E309" t="s">
        <v>987</v>
      </c>
      <c r="F309" s="3">
        <v>1</v>
      </c>
      <c r="G309" s="33">
        <v>32874</v>
      </c>
      <c r="H309" s="33">
        <v>32874</v>
      </c>
      <c r="I309" s="1"/>
      <c r="J309" s="1"/>
      <c r="K309" s="1"/>
      <c r="L309" s="1"/>
      <c r="M309" s="1"/>
      <c r="P309" s="3"/>
      <c r="R309" s="1"/>
      <c r="S309" s="1"/>
    </row>
    <row r="310" spans="1:19" ht="14.7" x14ac:dyDescent="0.65">
      <c r="A310" s="34">
        <v>309</v>
      </c>
      <c r="B310" s="3" t="s">
        <v>988</v>
      </c>
      <c r="C310" s="1" t="s">
        <v>989</v>
      </c>
      <c r="D310" s="1">
        <v>21</v>
      </c>
      <c r="E310" t="s">
        <v>990</v>
      </c>
      <c r="F310" s="3">
        <v>1</v>
      </c>
      <c r="G310" s="33">
        <v>32874</v>
      </c>
      <c r="H310" s="33">
        <v>32874</v>
      </c>
      <c r="I310" s="1"/>
      <c r="J310" s="1"/>
      <c r="K310" s="1"/>
      <c r="L310" s="1"/>
      <c r="M310" s="1"/>
      <c r="P310" s="3"/>
      <c r="R310" s="1"/>
      <c r="S310" s="1"/>
    </row>
    <row r="311" spans="1:19" ht="14.7" x14ac:dyDescent="0.65">
      <c r="A311" s="34">
        <v>310</v>
      </c>
      <c r="B311" s="3" t="s">
        <v>991</v>
      </c>
      <c r="C311" s="1" t="s">
        <v>992</v>
      </c>
      <c r="D311" s="1">
        <v>21</v>
      </c>
      <c r="E311" t="s">
        <v>993</v>
      </c>
      <c r="F311" s="3">
        <v>1</v>
      </c>
      <c r="G311" s="33">
        <v>32874</v>
      </c>
      <c r="H311" s="33">
        <v>32874</v>
      </c>
      <c r="I311" s="1"/>
      <c r="J311" s="1"/>
      <c r="K311" s="1"/>
      <c r="L311" s="1"/>
      <c r="M311" s="1"/>
      <c r="P311" s="3"/>
      <c r="R311" s="1"/>
      <c r="S311" s="1"/>
    </row>
    <row r="312" spans="1:19" ht="14.7" x14ac:dyDescent="0.65">
      <c r="A312" s="34">
        <v>311</v>
      </c>
      <c r="B312" s="3" t="s">
        <v>994</v>
      </c>
      <c r="C312" s="1" t="s">
        <v>995</v>
      </c>
      <c r="D312" s="1">
        <v>22</v>
      </c>
      <c r="E312" t="s">
        <v>996</v>
      </c>
      <c r="F312" s="3">
        <v>1</v>
      </c>
      <c r="G312" s="33">
        <v>32874</v>
      </c>
      <c r="H312" s="33">
        <v>32874</v>
      </c>
      <c r="I312" s="1"/>
      <c r="J312" s="1"/>
      <c r="K312" s="1"/>
      <c r="L312" s="1"/>
      <c r="M312" s="1"/>
      <c r="P312" s="3"/>
      <c r="R312" s="1"/>
      <c r="S312" s="1"/>
    </row>
    <row r="313" spans="1:19" ht="14.7" x14ac:dyDescent="0.65">
      <c r="A313" s="34">
        <v>312</v>
      </c>
      <c r="B313" s="3" t="s">
        <v>998</v>
      </c>
      <c r="C313" s="1" t="s">
        <v>999</v>
      </c>
      <c r="D313" s="1">
        <v>22</v>
      </c>
      <c r="E313" t="s">
        <v>1000</v>
      </c>
      <c r="F313" s="3">
        <v>1</v>
      </c>
      <c r="G313" s="33">
        <v>32874</v>
      </c>
      <c r="H313" s="33">
        <v>32874</v>
      </c>
      <c r="I313" s="1"/>
      <c r="J313" s="1"/>
      <c r="K313" s="1"/>
      <c r="L313" s="1"/>
      <c r="M313" s="1"/>
      <c r="P313" s="3"/>
      <c r="R313" s="1"/>
      <c r="S313" s="1"/>
    </row>
    <row r="314" spans="1:19" ht="14.7" x14ac:dyDescent="0.65">
      <c r="A314" s="34">
        <v>313</v>
      </c>
      <c r="B314" s="3" t="s">
        <v>1001</v>
      </c>
      <c r="C314" s="1" t="s">
        <v>1002</v>
      </c>
      <c r="D314" s="1">
        <v>22</v>
      </c>
      <c r="E314" t="s">
        <v>1003</v>
      </c>
      <c r="F314" s="3">
        <v>1</v>
      </c>
      <c r="G314" s="33">
        <v>32874</v>
      </c>
      <c r="H314" s="33">
        <v>32874</v>
      </c>
      <c r="I314" s="1"/>
      <c r="J314" s="1"/>
      <c r="K314" s="1"/>
      <c r="L314" s="1"/>
      <c r="M314" s="1"/>
      <c r="P314" s="3"/>
      <c r="R314" s="1"/>
      <c r="S314" s="1"/>
    </row>
    <row r="315" spans="1:19" ht="14.7" x14ac:dyDescent="0.65">
      <c r="A315" s="34">
        <v>314</v>
      </c>
      <c r="B315" s="3" t="s">
        <v>1004</v>
      </c>
      <c r="C315" s="1" t="s">
        <v>1005</v>
      </c>
      <c r="D315" s="1">
        <v>22</v>
      </c>
      <c r="E315" t="s">
        <v>1006</v>
      </c>
      <c r="F315" s="3">
        <v>1</v>
      </c>
      <c r="G315" s="33">
        <v>32874</v>
      </c>
      <c r="H315" s="33">
        <v>32874</v>
      </c>
      <c r="I315" s="1"/>
      <c r="J315" s="1"/>
      <c r="K315" s="1"/>
      <c r="L315" s="1"/>
      <c r="M315" s="1"/>
      <c r="P315" s="3"/>
      <c r="R315" s="1"/>
      <c r="S315" s="1"/>
    </row>
    <row r="316" spans="1:19" ht="14.7" x14ac:dyDescent="0.65">
      <c r="A316" s="34">
        <v>315</v>
      </c>
      <c r="B316" s="3" t="s">
        <v>1007</v>
      </c>
      <c r="C316" s="1" t="s">
        <v>1008</v>
      </c>
      <c r="D316" s="1">
        <v>22</v>
      </c>
      <c r="E316" t="s">
        <v>1009</v>
      </c>
      <c r="F316" s="3">
        <v>1</v>
      </c>
      <c r="G316" s="33">
        <v>32874</v>
      </c>
      <c r="H316" s="33">
        <v>32874</v>
      </c>
      <c r="I316" s="1"/>
      <c r="J316" s="1"/>
      <c r="K316" s="1"/>
      <c r="L316" s="1"/>
      <c r="M316" s="1"/>
      <c r="P316" s="3"/>
      <c r="R316" s="1"/>
      <c r="S316" s="1"/>
    </row>
    <row r="317" spans="1:19" ht="14.7" x14ac:dyDescent="0.65">
      <c r="A317" s="34">
        <v>316</v>
      </c>
      <c r="B317" s="3" t="s">
        <v>1010</v>
      </c>
      <c r="C317" s="1" t="s">
        <v>1011</v>
      </c>
      <c r="D317" s="1">
        <v>22</v>
      </c>
      <c r="E317" t="s">
        <v>1012</v>
      </c>
      <c r="F317" s="3">
        <v>1</v>
      </c>
      <c r="G317" s="33">
        <v>32874</v>
      </c>
      <c r="H317" s="33">
        <v>32874</v>
      </c>
      <c r="I317" s="1"/>
      <c r="J317" s="1"/>
      <c r="K317" s="1"/>
      <c r="L317" s="1"/>
      <c r="M317" s="1"/>
      <c r="P317" s="3"/>
      <c r="R317" s="1"/>
      <c r="S317" s="1"/>
    </row>
    <row r="318" spans="1:19" ht="14.7" x14ac:dyDescent="0.65">
      <c r="A318" s="34">
        <v>317</v>
      </c>
      <c r="B318" s="3" t="s">
        <v>1013</v>
      </c>
      <c r="C318" s="1" t="s">
        <v>1014</v>
      </c>
      <c r="D318" s="1">
        <v>22</v>
      </c>
      <c r="E318" t="s">
        <v>1015</v>
      </c>
      <c r="F318" s="3">
        <v>1</v>
      </c>
      <c r="G318" s="33">
        <v>32874</v>
      </c>
      <c r="H318" s="33">
        <v>32874</v>
      </c>
      <c r="I318" s="1"/>
      <c r="J318" s="1"/>
      <c r="K318" s="1"/>
      <c r="L318" s="1"/>
      <c r="M318" s="1"/>
      <c r="P318" s="3"/>
      <c r="R318" s="1"/>
      <c r="S318" s="1"/>
    </row>
    <row r="319" spans="1:19" ht="14.7" x14ac:dyDescent="0.65">
      <c r="A319" s="34">
        <v>318</v>
      </c>
      <c r="B319" s="3" t="s">
        <v>1016</v>
      </c>
      <c r="C319" s="1" t="s">
        <v>1017</v>
      </c>
      <c r="D319" s="1">
        <v>22</v>
      </c>
      <c r="E319" t="s">
        <v>1018</v>
      </c>
      <c r="F319" s="3">
        <v>1</v>
      </c>
      <c r="G319" s="33">
        <v>32874</v>
      </c>
      <c r="H319" s="33">
        <v>32874</v>
      </c>
      <c r="I319" s="1"/>
      <c r="J319" s="1"/>
      <c r="K319" s="1"/>
      <c r="L319" s="1"/>
      <c r="M319" s="1"/>
      <c r="P319" s="3"/>
      <c r="R319" s="1"/>
      <c r="S319" s="1"/>
    </row>
    <row r="320" spans="1:19" ht="14.7" x14ac:dyDescent="0.65">
      <c r="A320" s="34">
        <v>319</v>
      </c>
      <c r="B320" s="3" t="s">
        <v>1019</v>
      </c>
      <c r="C320" s="1" t="s">
        <v>1020</v>
      </c>
      <c r="D320" s="1">
        <v>22</v>
      </c>
      <c r="E320" t="s">
        <v>1021</v>
      </c>
      <c r="F320" s="3">
        <v>1</v>
      </c>
      <c r="G320" s="33">
        <v>32874</v>
      </c>
      <c r="H320" s="33">
        <v>32874</v>
      </c>
      <c r="I320" s="1"/>
      <c r="J320" s="1"/>
      <c r="K320" s="1"/>
      <c r="L320" s="1"/>
      <c r="M320" s="1"/>
      <c r="P320" s="3"/>
      <c r="R320" s="1"/>
      <c r="S320" s="1"/>
    </row>
    <row r="321" spans="1:19" ht="14.7" x14ac:dyDescent="0.65">
      <c r="A321" s="34">
        <v>320</v>
      </c>
      <c r="B321" s="3" t="s">
        <v>1022</v>
      </c>
      <c r="C321" s="1" t="s">
        <v>1023</v>
      </c>
      <c r="D321" s="1">
        <v>22</v>
      </c>
      <c r="E321" t="s">
        <v>1024</v>
      </c>
      <c r="F321" s="3">
        <v>1</v>
      </c>
      <c r="G321" s="33">
        <v>32874</v>
      </c>
      <c r="H321" s="33">
        <v>32874</v>
      </c>
      <c r="I321" s="1"/>
      <c r="J321" s="1"/>
      <c r="K321" s="1"/>
      <c r="L321" s="1"/>
      <c r="M321" s="1"/>
      <c r="P321" s="3"/>
      <c r="R321" s="1"/>
      <c r="S321" s="1"/>
    </row>
    <row r="322" spans="1:19" ht="14.7" x14ac:dyDescent="0.65">
      <c r="A322" s="34">
        <v>321</v>
      </c>
      <c r="B322" s="3" t="s">
        <v>1025</v>
      </c>
      <c r="C322" s="1" t="s">
        <v>1026</v>
      </c>
      <c r="D322" s="1">
        <v>22</v>
      </c>
      <c r="E322" t="s">
        <v>1027</v>
      </c>
      <c r="F322" s="3">
        <v>1</v>
      </c>
      <c r="G322" s="33">
        <v>32874</v>
      </c>
      <c r="H322" s="33">
        <v>32874</v>
      </c>
      <c r="I322" s="1"/>
      <c r="J322" s="1"/>
      <c r="K322" s="1"/>
      <c r="L322" s="1"/>
      <c r="M322" s="1"/>
      <c r="P322" s="3"/>
      <c r="R322" s="1"/>
      <c r="S322" s="1"/>
    </row>
    <row r="323" spans="1:19" ht="14.7" x14ac:dyDescent="0.65">
      <c r="A323" s="34">
        <v>322</v>
      </c>
      <c r="B323" s="3" t="s">
        <v>1028</v>
      </c>
      <c r="C323" s="1" t="s">
        <v>1029</v>
      </c>
      <c r="D323" s="1">
        <v>22</v>
      </c>
      <c r="E323" t="s">
        <v>1030</v>
      </c>
      <c r="F323" s="3">
        <v>1</v>
      </c>
      <c r="G323" s="33">
        <v>32874</v>
      </c>
      <c r="H323" s="33">
        <v>32874</v>
      </c>
      <c r="I323" s="1"/>
      <c r="J323" s="1"/>
      <c r="K323" s="1"/>
      <c r="L323" s="1"/>
      <c r="M323" s="1"/>
      <c r="P323" s="3"/>
      <c r="R323" s="1"/>
      <c r="S323" s="1"/>
    </row>
    <row r="324" spans="1:19" ht="14.7" x14ac:dyDescent="0.65">
      <c r="A324" s="34">
        <v>323</v>
      </c>
      <c r="B324" s="3" t="s">
        <v>1031</v>
      </c>
      <c r="C324" s="1" t="s">
        <v>1032</v>
      </c>
      <c r="D324" s="1">
        <v>22</v>
      </c>
      <c r="E324" t="s">
        <v>1033</v>
      </c>
      <c r="F324" s="3">
        <v>1</v>
      </c>
      <c r="G324" s="33">
        <v>32874</v>
      </c>
      <c r="H324" s="33">
        <v>32874</v>
      </c>
      <c r="I324" s="1"/>
      <c r="J324" s="1"/>
      <c r="K324" s="1"/>
      <c r="L324" s="1"/>
      <c r="M324" s="1"/>
      <c r="P324" s="3"/>
      <c r="R324" s="1"/>
      <c r="S324" s="1"/>
    </row>
    <row r="325" spans="1:19" ht="14.7" x14ac:dyDescent="0.65">
      <c r="A325" s="34">
        <v>324</v>
      </c>
      <c r="B325" s="3" t="s">
        <v>1034</v>
      </c>
      <c r="C325" s="1" t="s">
        <v>1035</v>
      </c>
      <c r="D325" s="1">
        <v>22</v>
      </c>
      <c r="E325" t="s">
        <v>1036</v>
      </c>
      <c r="F325" s="3">
        <v>1</v>
      </c>
      <c r="G325" s="33">
        <v>32874</v>
      </c>
      <c r="H325" s="33">
        <v>32874</v>
      </c>
      <c r="I325" s="1"/>
      <c r="J325" s="1"/>
      <c r="K325" s="1"/>
      <c r="L325" s="1"/>
      <c r="M325" s="1"/>
      <c r="P325" s="3"/>
      <c r="R325" s="1"/>
      <c r="S325" s="1"/>
    </row>
    <row r="326" spans="1:19" ht="14.7" x14ac:dyDescent="0.65">
      <c r="A326" s="34">
        <v>325</v>
      </c>
      <c r="B326" s="3" t="s">
        <v>1037</v>
      </c>
      <c r="C326" s="1" t="s">
        <v>1038</v>
      </c>
      <c r="D326" s="1">
        <v>22</v>
      </c>
      <c r="E326" t="s">
        <v>1039</v>
      </c>
      <c r="F326" s="3">
        <v>1</v>
      </c>
      <c r="G326" s="33">
        <v>32874</v>
      </c>
      <c r="H326" s="33">
        <v>32874</v>
      </c>
      <c r="I326" s="1"/>
      <c r="J326" s="1"/>
      <c r="K326" s="1"/>
      <c r="L326" s="1"/>
      <c r="M326" s="1"/>
      <c r="P326" s="3"/>
      <c r="R326" s="1"/>
      <c r="S326" s="1"/>
    </row>
    <row r="327" spans="1:19" ht="14.7" x14ac:dyDescent="0.65">
      <c r="A327" s="34">
        <v>326</v>
      </c>
      <c r="B327" s="3" t="s">
        <v>1040</v>
      </c>
      <c r="C327" s="1" t="s">
        <v>1041</v>
      </c>
      <c r="D327" s="1">
        <v>22</v>
      </c>
      <c r="E327" t="s">
        <v>1042</v>
      </c>
      <c r="F327" s="3">
        <v>1</v>
      </c>
      <c r="G327" s="33">
        <v>32874</v>
      </c>
      <c r="H327" s="33">
        <v>32874</v>
      </c>
      <c r="I327" s="1"/>
      <c r="J327" s="1"/>
      <c r="K327" s="1"/>
      <c r="L327" s="1"/>
      <c r="M327" s="1"/>
      <c r="P327" s="3"/>
      <c r="R327" s="1"/>
      <c r="S327" s="1"/>
    </row>
    <row r="328" spans="1:19" ht="14.7" x14ac:dyDescent="0.65">
      <c r="A328" s="34">
        <v>327</v>
      </c>
      <c r="B328" s="3" t="s">
        <v>1043</v>
      </c>
      <c r="C328" s="1" t="s">
        <v>1044</v>
      </c>
      <c r="D328" s="1">
        <v>22</v>
      </c>
      <c r="E328" t="s">
        <v>1045</v>
      </c>
      <c r="F328" s="3">
        <v>1</v>
      </c>
      <c r="G328" s="33">
        <v>32874</v>
      </c>
      <c r="H328" s="33">
        <v>32874</v>
      </c>
      <c r="I328" s="1"/>
      <c r="J328" s="1"/>
      <c r="K328" s="1"/>
      <c r="L328" s="1"/>
      <c r="M328" s="1"/>
      <c r="P328" s="3"/>
      <c r="R328" s="1"/>
      <c r="S328" s="1"/>
    </row>
    <row r="329" spans="1:19" ht="14.7" x14ac:dyDescent="0.65">
      <c r="A329" s="34">
        <v>328</v>
      </c>
      <c r="B329" s="3" t="s">
        <v>1046</v>
      </c>
      <c r="C329" s="1" t="s">
        <v>1047</v>
      </c>
      <c r="D329" s="1">
        <v>22</v>
      </c>
      <c r="E329" t="s">
        <v>1048</v>
      </c>
      <c r="F329" s="3">
        <v>1</v>
      </c>
      <c r="G329" s="33">
        <v>32874</v>
      </c>
      <c r="H329" s="33">
        <v>32874</v>
      </c>
      <c r="I329" s="1"/>
      <c r="J329" s="1"/>
      <c r="K329" s="1"/>
      <c r="L329" s="1"/>
      <c r="M329" s="1"/>
      <c r="P329" s="3"/>
      <c r="R329" s="1"/>
      <c r="S329" s="1"/>
    </row>
    <row r="330" spans="1:19" ht="14.7" x14ac:dyDescent="0.65">
      <c r="A330" s="34">
        <v>329</v>
      </c>
      <c r="B330" s="3" t="s">
        <v>1049</v>
      </c>
      <c r="C330" s="1" t="s">
        <v>1050</v>
      </c>
      <c r="D330" s="1">
        <v>22</v>
      </c>
      <c r="E330" t="s">
        <v>1051</v>
      </c>
      <c r="F330" s="3">
        <v>1</v>
      </c>
      <c r="G330" s="33">
        <v>32874</v>
      </c>
      <c r="H330" s="33">
        <v>32874</v>
      </c>
      <c r="I330" s="1"/>
      <c r="J330" s="1"/>
      <c r="K330" s="1"/>
      <c r="L330" s="1"/>
      <c r="M330" s="1"/>
      <c r="P330" s="3"/>
      <c r="R330" s="1"/>
      <c r="S330" s="1"/>
    </row>
    <row r="331" spans="1:19" ht="14.7" x14ac:dyDescent="0.65">
      <c r="A331" s="34">
        <v>330</v>
      </c>
      <c r="B331" s="3" t="s">
        <v>1052</v>
      </c>
      <c r="C331" s="1" t="s">
        <v>1053</v>
      </c>
      <c r="D331" s="1">
        <v>22</v>
      </c>
      <c r="E331" t="s">
        <v>1054</v>
      </c>
      <c r="F331" s="3">
        <v>1</v>
      </c>
      <c r="G331" s="33">
        <v>32874</v>
      </c>
      <c r="H331" s="33">
        <v>32874</v>
      </c>
      <c r="I331" s="1"/>
      <c r="J331" s="1"/>
      <c r="K331" s="1"/>
      <c r="L331" s="1"/>
      <c r="M331" s="1"/>
      <c r="P331" s="3"/>
      <c r="R331" s="1"/>
      <c r="S331" s="1"/>
    </row>
    <row r="332" spans="1:19" ht="14.7" x14ac:dyDescent="0.65">
      <c r="A332" s="34">
        <v>331</v>
      </c>
      <c r="B332" s="3" t="s">
        <v>1055</v>
      </c>
      <c r="C332" s="1" t="s">
        <v>1056</v>
      </c>
      <c r="D332" s="1">
        <v>22</v>
      </c>
      <c r="E332" t="s">
        <v>1057</v>
      </c>
      <c r="F332" s="3">
        <v>1</v>
      </c>
      <c r="G332" s="33">
        <v>32874</v>
      </c>
      <c r="H332" s="33">
        <v>32874</v>
      </c>
      <c r="I332" s="1"/>
      <c r="J332" s="1"/>
      <c r="K332" s="1"/>
      <c r="L332" s="1"/>
      <c r="M332" s="1"/>
      <c r="P332" s="3"/>
      <c r="R332" s="1"/>
      <c r="S332" s="1"/>
    </row>
    <row r="333" spans="1:19" ht="14.7" x14ac:dyDescent="0.65">
      <c r="A333" s="34">
        <v>332</v>
      </c>
      <c r="B333" s="3" t="s">
        <v>1058</v>
      </c>
      <c r="C333" s="1" t="s">
        <v>1059</v>
      </c>
      <c r="D333" s="1">
        <v>22</v>
      </c>
      <c r="E333" t="s">
        <v>1060</v>
      </c>
      <c r="F333" s="3">
        <v>1</v>
      </c>
      <c r="G333" s="33">
        <v>32874</v>
      </c>
      <c r="H333" s="33">
        <v>32874</v>
      </c>
      <c r="I333" s="1"/>
      <c r="J333" s="1"/>
      <c r="K333" s="1"/>
      <c r="L333" s="1"/>
      <c r="M333" s="1"/>
      <c r="P333" s="3"/>
      <c r="R333" s="1"/>
      <c r="S333" s="1"/>
    </row>
    <row r="334" spans="1:19" ht="14.7" x14ac:dyDescent="0.65">
      <c r="A334" s="34">
        <v>333</v>
      </c>
      <c r="B334" s="3" t="s">
        <v>1061</v>
      </c>
      <c r="C334" s="1" t="s">
        <v>1062</v>
      </c>
      <c r="D334" s="1">
        <v>22</v>
      </c>
      <c r="E334" t="s">
        <v>1063</v>
      </c>
      <c r="F334" s="3">
        <v>1</v>
      </c>
      <c r="G334" s="33">
        <v>32874</v>
      </c>
      <c r="H334" s="33">
        <v>32874</v>
      </c>
      <c r="I334" s="1"/>
      <c r="J334" s="1"/>
      <c r="K334" s="1"/>
      <c r="L334" s="1"/>
      <c r="M334" s="1"/>
      <c r="P334" s="3"/>
      <c r="R334" s="1"/>
      <c r="S334" s="1"/>
    </row>
    <row r="335" spans="1:19" ht="14.7" x14ac:dyDescent="0.65">
      <c r="A335" s="34">
        <v>334</v>
      </c>
      <c r="B335" s="3" t="s">
        <v>1064</v>
      </c>
      <c r="C335" s="1" t="s">
        <v>1065</v>
      </c>
      <c r="D335" s="1">
        <v>23</v>
      </c>
      <c r="E335" t="s">
        <v>1066</v>
      </c>
      <c r="F335" s="3">
        <v>1</v>
      </c>
      <c r="G335" s="33">
        <v>32874</v>
      </c>
      <c r="H335" s="33">
        <v>32874</v>
      </c>
      <c r="I335" s="1"/>
      <c r="J335" s="1"/>
      <c r="K335" s="1"/>
      <c r="L335" s="1"/>
      <c r="M335" s="1"/>
      <c r="P335" s="3"/>
      <c r="R335" s="1"/>
      <c r="S335" s="1"/>
    </row>
    <row r="336" spans="1:19" ht="14.7" x14ac:dyDescent="0.65">
      <c r="A336" s="34">
        <v>335</v>
      </c>
      <c r="B336" s="3" t="s">
        <v>1068</v>
      </c>
      <c r="C336" s="1" t="s">
        <v>1069</v>
      </c>
      <c r="D336" s="1">
        <v>23</v>
      </c>
      <c r="E336" t="s">
        <v>1070</v>
      </c>
      <c r="F336" s="3">
        <v>1</v>
      </c>
      <c r="G336" s="33">
        <v>32874</v>
      </c>
      <c r="H336" s="33">
        <v>32874</v>
      </c>
      <c r="I336" s="1"/>
      <c r="J336" s="1"/>
      <c r="K336" s="1"/>
      <c r="L336" s="1"/>
      <c r="M336" s="1"/>
      <c r="P336" s="3"/>
      <c r="R336" s="1"/>
      <c r="S336" s="1"/>
    </row>
    <row r="337" spans="1:19" ht="14.7" x14ac:dyDescent="0.65">
      <c r="A337" s="34">
        <v>336</v>
      </c>
      <c r="B337" s="3" t="s">
        <v>1071</v>
      </c>
      <c r="C337" s="1" t="s">
        <v>1072</v>
      </c>
      <c r="D337" s="1">
        <v>23</v>
      </c>
      <c r="E337" t="s">
        <v>1073</v>
      </c>
      <c r="F337" s="3">
        <v>1</v>
      </c>
      <c r="G337" s="33">
        <v>32874</v>
      </c>
      <c r="H337" s="33">
        <v>32874</v>
      </c>
      <c r="I337" s="1"/>
      <c r="J337" s="1"/>
      <c r="K337" s="1"/>
      <c r="L337" s="1"/>
      <c r="M337" s="1"/>
      <c r="P337" s="3"/>
      <c r="R337" s="1"/>
      <c r="S337" s="1"/>
    </row>
    <row r="338" spans="1:19" ht="14.7" x14ac:dyDescent="0.65">
      <c r="A338" s="34">
        <v>337</v>
      </c>
      <c r="B338" s="3" t="s">
        <v>1074</v>
      </c>
      <c r="C338" s="1" t="s">
        <v>1075</v>
      </c>
      <c r="D338" s="1">
        <v>23</v>
      </c>
      <c r="E338" t="s">
        <v>1076</v>
      </c>
      <c r="F338" s="3">
        <v>1</v>
      </c>
      <c r="G338" s="33">
        <v>32874</v>
      </c>
      <c r="H338" s="33">
        <v>32874</v>
      </c>
      <c r="I338" s="1"/>
      <c r="J338" s="1"/>
      <c r="K338" s="1"/>
      <c r="L338" s="1"/>
      <c r="M338" s="1"/>
      <c r="P338" s="3"/>
      <c r="R338" s="1"/>
      <c r="S338" s="1"/>
    </row>
    <row r="339" spans="1:19" ht="14.7" x14ac:dyDescent="0.65">
      <c r="A339" s="34">
        <v>338</v>
      </c>
      <c r="B339" s="3" t="s">
        <v>1077</v>
      </c>
      <c r="C339" s="1" t="s">
        <v>1078</v>
      </c>
      <c r="D339" s="1">
        <v>23</v>
      </c>
      <c r="E339" t="s">
        <v>1079</v>
      </c>
      <c r="F339" s="3">
        <v>1</v>
      </c>
      <c r="G339" s="33">
        <v>32874</v>
      </c>
      <c r="H339" s="33">
        <v>32874</v>
      </c>
      <c r="I339" s="1"/>
      <c r="J339" s="1"/>
      <c r="K339" s="1"/>
      <c r="L339" s="1"/>
      <c r="M339" s="1"/>
      <c r="P339" s="3"/>
      <c r="R339" s="1"/>
      <c r="S339" s="1"/>
    </row>
    <row r="340" spans="1:19" ht="14.7" x14ac:dyDescent="0.65">
      <c r="A340" s="34">
        <v>339</v>
      </c>
      <c r="B340" s="3" t="s">
        <v>1080</v>
      </c>
      <c r="C340" s="1" t="s">
        <v>1081</v>
      </c>
      <c r="D340" s="1">
        <v>23</v>
      </c>
      <c r="E340" t="s">
        <v>1082</v>
      </c>
      <c r="F340" s="3">
        <v>1</v>
      </c>
      <c r="G340" s="33">
        <v>32874</v>
      </c>
      <c r="H340" s="33">
        <v>32874</v>
      </c>
      <c r="I340" s="1"/>
      <c r="J340" s="1"/>
      <c r="K340" s="1"/>
      <c r="L340" s="1"/>
      <c r="M340" s="1"/>
      <c r="P340" s="3"/>
      <c r="R340" s="1"/>
      <c r="S340" s="1"/>
    </row>
    <row r="341" spans="1:19" ht="14.7" x14ac:dyDescent="0.65">
      <c r="A341" s="34">
        <v>340</v>
      </c>
      <c r="B341" s="3" t="s">
        <v>1083</v>
      </c>
      <c r="C341" s="1" t="s">
        <v>1084</v>
      </c>
      <c r="D341" s="1">
        <v>23</v>
      </c>
      <c r="E341" t="s">
        <v>1085</v>
      </c>
      <c r="F341" s="3">
        <v>1</v>
      </c>
      <c r="G341" s="33">
        <v>32874</v>
      </c>
      <c r="H341" s="33">
        <v>32874</v>
      </c>
      <c r="I341" s="1"/>
      <c r="J341" s="1"/>
      <c r="K341" s="1"/>
      <c r="L341" s="1"/>
      <c r="M341" s="1"/>
      <c r="P341" s="3"/>
      <c r="R341" s="1"/>
      <c r="S341" s="1"/>
    </row>
    <row r="342" spans="1:19" ht="14.7" x14ac:dyDescent="0.65">
      <c r="A342" s="34">
        <v>341</v>
      </c>
      <c r="B342" s="3" t="s">
        <v>1086</v>
      </c>
      <c r="C342" s="1" t="s">
        <v>1087</v>
      </c>
      <c r="D342" s="1">
        <v>23</v>
      </c>
      <c r="E342" t="s">
        <v>1088</v>
      </c>
      <c r="F342" s="3">
        <v>1</v>
      </c>
      <c r="G342" s="33">
        <v>32874</v>
      </c>
      <c r="H342" s="33">
        <v>32874</v>
      </c>
      <c r="I342" s="1"/>
      <c r="J342" s="1"/>
      <c r="K342" s="1"/>
      <c r="L342" s="1"/>
      <c r="M342" s="1"/>
      <c r="P342" s="3"/>
      <c r="R342" s="1"/>
      <c r="S342" s="1"/>
    </row>
    <row r="343" spans="1:19" ht="14.7" x14ac:dyDescent="0.65">
      <c r="A343" s="34">
        <v>342</v>
      </c>
      <c r="B343" s="3" t="s">
        <v>1089</v>
      </c>
      <c r="C343" s="1" t="s">
        <v>1090</v>
      </c>
      <c r="D343" s="1">
        <v>23</v>
      </c>
      <c r="E343" t="s">
        <v>1091</v>
      </c>
      <c r="F343" s="3">
        <v>1</v>
      </c>
      <c r="G343" s="33">
        <v>32874</v>
      </c>
      <c r="H343" s="33">
        <v>32874</v>
      </c>
      <c r="I343" s="1"/>
      <c r="J343" s="1"/>
      <c r="K343" s="1"/>
      <c r="L343" s="1"/>
      <c r="M343" s="1"/>
      <c r="P343" s="3"/>
      <c r="R343" s="1"/>
      <c r="S343" s="1"/>
    </row>
    <row r="344" spans="1:19" ht="14.7" x14ac:dyDescent="0.65">
      <c r="A344" s="34">
        <v>343</v>
      </c>
      <c r="B344" s="3" t="s">
        <v>1092</v>
      </c>
      <c r="C344" s="1" t="s">
        <v>1093</v>
      </c>
      <c r="D344" s="1">
        <v>23</v>
      </c>
      <c r="E344" t="s">
        <v>1094</v>
      </c>
      <c r="F344" s="3">
        <v>1</v>
      </c>
      <c r="G344" s="33">
        <v>32874</v>
      </c>
      <c r="H344" s="33">
        <v>32874</v>
      </c>
      <c r="I344" s="1"/>
      <c r="J344" s="1"/>
      <c r="K344" s="1"/>
      <c r="L344" s="1"/>
      <c r="M344" s="1"/>
      <c r="P344" s="3"/>
      <c r="R344" s="1"/>
      <c r="S344" s="1"/>
    </row>
    <row r="345" spans="1:19" ht="14.7" x14ac:dyDescent="0.65">
      <c r="A345" s="34">
        <v>344</v>
      </c>
      <c r="B345" s="3" t="s">
        <v>1095</v>
      </c>
      <c r="C345" s="1" t="s">
        <v>1096</v>
      </c>
      <c r="D345" s="1">
        <v>23</v>
      </c>
      <c r="E345" t="s">
        <v>1097</v>
      </c>
      <c r="F345" s="3">
        <v>1</v>
      </c>
      <c r="G345" s="33">
        <v>32874</v>
      </c>
      <c r="H345" s="33">
        <v>32874</v>
      </c>
      <c r="I345" s="1"/>
      <c r="J345" s="1"/>
      <c r="K345" s="1"/>
      <c r="L345" s="1"/>
      <c r="M345" s="1"/>
      <c r="P345" s="3"/>
      <c r="R345" s="1"/>
      <c r="S345" s="1"/>
    </row>
    <row r="346" spans="1:19" ht="14.7" x14ac:dyDescent="0.65">
      <c r="A346" s="34">
        <v>345</v>
      </c>
      <c r="B346" s="3" t="s">
        <v>1098</v>
      </c>
      <c r="C346" s="1" t="s">
        <v>1099</v>
      </c>
      <c r="D346" s="1">
        <v>23</v>
      </c>
      <c r="E346" t="s">
        <v>1100</v>
      </c>
      <c r="F346" s="3">
        <v>1</v>
      </c>
      <c r="G346" s="33">
        <v>32874</v>
      </c>
      <c r="H346" s="33">
        <v>32874</v>
      </c>
      <c r="I346" s="1"/>
      <c r="J346" s="1"/>
      <c r="K346" s="1"/>
      <c r="L346" s="1"/>
      <c r="M346" s="1"/>
      <c r="P346" s="3"/>
      <c r="R346" s="1"/>
      <c r="S346" s="1"/>
    </row>
    <row r="347" spans="1:19" ht="14.7" x14ac:dyDescent="0.65">
      <c r="A347" s="34">
        <v>346</v>
      </c>
      <c r="B347" s="3" t="s">
        <v>1101</v>
      </c>
      <c r="C347" s="1" t="s">
        <v>1102</v>
      </c>
      <c r="D347" s="1">
        <v>23</v>
      </c>
      <c r="E347" t="s">
        <v>1103</v>
      </c>
      <c r="F347" s="3">
        <v>1</v>
      </c>
      <c r="G347" s="33">
        <v>32874</v>
      </c>
      <c r="H347" s="33">
        <v>32874</v>
      </c>
      <c r="I347" s="1"/>
      <c r="J347" s="1"/>
      <c r="K347" s="1"/>
      <c r="L347" s="1"/>
      <c r="M347" s="1"/>
      <c r="P347" s="3"/>
      <c r="R347" s="1"/>
      <c r="S347" s="1"/>
    </row>
    <row r="348" spans="1:19" ht="14.7" x14ac:dyDescent="0.65">
      <c r="A348" s="34">
        <v>347</v>
      </c>
      <c r="B348" s="3" t="s">
        <v>1104</v>
      </c>
      <c r="C348" s="1" t="s">
        <v>1105</v>
      </c>
      <c r="D348" s="1">
        <v>23</v>
      </c>
      <c r="E348" t="s">
        <v>1106</v>
      </c>
      <c r="F348" s="3">
        <v>1</v>
      </c>
      <c r="G348" s="33">
        <v>32874</v>
      </c>
      <c r="H348" s="33">
        <v>32874</v>
      </c>
      <c r="I348" s="1"/>
      <c r="J348" s="1"/>
      <c r="K348" s="1"/>
      <c r="L348" s="1"/>
      <c r="M348" s="1"/>
      <c r="P348" s="3"/>
      <c r="R348" s="1"/>
      <c r="S348" s="1"/>
    </row>
    <row r="349" spans="1:19" ht="14.7" x14ac:dyDescent="0.65">
      <c r="A349" s="34">
        <v>348</v>
      </c>
      <c r="B349" s="3" t="s">
        <v>1107</v>
      </c>
      <c r="C349" s="1" t="s">
        <v>1108</v>
      </c>
      <c r="D349" s="1">
        <v>23</v>
      </c>
      <c r="E349" t="s">
        <v>1109</v>
      </c>
      <c r="F349" s="3">
        <v>1</v>
      </c>
      <c r="G349" s="33">
        <v>32874</v>
      </c>
      <c r="H349" s="33">
        <v>32874</v>
      </c>
      <c r="I349" s="1"/>
      <c r="J349" s="1"/>
      <c r="K349" s="1"/>
      <c r="L349" s="1"/>
      <c r="M349" s="1"/>
      <c r="P349" s="3"/>
      <c r="R349" s="1"/>
      <c r="S349" s="1"/>
    </row>
    <row r="350" spans="1:19" ht="14.7" x14ac:dyDescent="0.65">
      <c r="A350" s="34">
        <v>349</v>
      </c>
      <c r="B350" s="3" t="s">
        <v>1110</v>
      </c>
      <c r="C350" s="1" t="s">
        <v>1111</v>
      </c>
      <c r="D350" s="1">
        <v>23</v>
      </c>
      <c r="E350" t="s">
        <v>1112</v>
      </c>
      <c r="F350" s="3">
        <v>1</v>
      </c>
      <c r="G350" s="33">
        <v>32874</v>
      </c>
      <c r="H350" s="33">
        <v>32874</v>
      </c>
      <c r="I350" s="1"/>
      <c r="J350" s="1"/>
      <c r="K350" s="1"/>
      <c r="L350" s="1"/>
      <c r="M350" s="1"/>
      <c r="P350" s="3"/>
      <c r="R350" s="1"/>
      <c r="S350" s="1"/>
    </row>
    <row r="351" spans="1:19" ht="14.7" x14ac:dyDescent="0.65">
      <c r="A351" s="34">
        <v>350</v>
      </c>
      <c r="B351" s="3" t="s">
        <v>1113</v>
      </c>
      <c r="C351" s="1" t="s">
        <v>1114</v>
      </c>
      <c r="D351" s="1">
        <v>23</v>
      </c>
      <c r="E351" t="s">
        <v>1115</v>
      </c>
      <c r="F351" s="3">
        <v>1</v>
      </c>
      <c r="G351" s="33">
        <v>32874</v>
      </c>
      <c r="H351" s="33">
        <v>32874</v>
      </c>
      <c r="I351" s="1"/>
      <c r="J351" s="1"/>
      <c r="K351" s="1"/>
      <c r="L351" s="1"/>
      <c r="M351" s="1"/>
      <c r="P351" s="3"/>
      <c r="R351" s="1"/>
      <c r="S351" s="1"/>
    </row>
    <row r="352" spans="1:19" ht="14.7" x14ac:dyDescent="0.65">
      <c r="A352" s="34">
        <v>351</v>
      </c>
      <c r="B352" s="3" t="s">
        <v>1116</v>
      </c>
      <c r="C352" s="1" t="s">
        <v>1117</v>
      </c>
      <c r="D352" s="1">
        <v>23</v>
      </c>
      <c r="E352" t="s">
        <v>1118</v>
      </c>
      <c r="F352" s="3">
        <v>1</v>
      </c>
      <c r="G352" s="33">
        <v>32874</v>
      </c>
      <c r="H352" s="33">
        <v>32874</v>
      </c>
      <c r="I352" s="1"/>
      <c r="J352" s="1"/>
      <c r="K352" s="1"/>
      <c r="L352" s="1"/>
      <c r="M352" s="1"/>
      <c r="P352" s="3"/>
      <c r="R352" s="1"/>
      <c r="S352" s="1"/>
    </row>
    <row r="353" spans="1:19" ht="14.7" x14ac:dyDescent="0.65">
      <c r="A353" s="34">
        <v>352</v>
      </c>
      <c r="B353" s="3" t="s">
        <v>1119</v>
      </c>
      <c r="C353" s="1" t="s">
        <v>1120</v>
      </c>
      <c r="D353" s="1">
        <v>23</v>
      </c>
      <c r="E353" t="s">
        <v>1121</v>
      </c>
      <c r="F353" s="3">
        <v>1</v>
      </c>
      <c r="G353" s="33">
        <v>32874</v>
      </c>
      <c r="H353" s="33">
        <v>32874</v>
      </c>
      <c r="I353" s="1"/>
      <c r="J353" s="1"/>
      <c r="K353" s="1"/>
      <c r="L353" s="1"/>
      <c r="M353" s="1"/>
      <c r="P353" s="3"/>
      <c r="R353" s="1"/>
      <c r="S353" s="1"/>
    </row>
    <row r="354" spans="1:19" ht="14.7" x14ac:dyDescent="0.65">
      <c r="A354" s="34">
        <v>353</v>
      </c>
      <c r="B354" s="3" t="s">
        <v>1122</v>
      </c>
      <c r="C354" s="1" t="s">
        <v>1123</v>
      </c>
      <c r="D354" s="1">
        <v>23</v>
      </c>
      <c r="E354" t="s">
        <v>1124</v>
      </c>
      <c r="F354" s="3">
        <v>1</v>
      </c>
      <c r="G354" s="33">
        <v>32874</v>
      </c>
      <c r="H354" s="33">
        <v>32874</v>
      </c>
      <c r="I354" s="1"/>
      <c r="J354" s="1"/>
      <c r="K354" s="1"/>
      <c r="L354" s="1"/>
      <c r="M354" s="1"/>
      <c r="P354" s="3"/>
      <c r="R354" s="1"/>
      <c r="S354" s="1"/>
    </row>
    <row r="355" spans="1:19" ht="14.7" x14ac:dyDescent="0.65">
      <c r="A355" s="34">
        <v>354</v>
      </c>
      <c r="B355" s="3" t="s">
        <v>1125</v>
      </c>
      <c r="C355" s="1" t="s">
        <v>1126</v>
      </c>
      <c r="D355" s="1">
        <v>23</v>
      </c>
      <c r="E355" t="s">
        <v>1127</v>
      </c>
      <c r="F355" s="3">
        <v>1</v>
      </c>
      <c r="G355" s="33">
        <v>32874</v>
      </c>
      <c r="H355" s="33">
        <v>32874</v>
      </c>
      <c r="I355" s="1"/>
      <c r="J355" s="1"/>
      <c r="K355" s="1"/>
      <c r="L355" s="1"/>
      <c r="M355" s="1"/>
      <c r="P355" s="3"/>
      <c r="R355" s="1"/>
      <c r="S355" s="1"/>
    </row>
    <row r="356" spans="1:19" ht="14.7" x14ac:dyDescent="0.65">
      <c r="A356" s="34">
        <v>355</v>
      </c>
      <c r="B356" s="3" t="s">
        <v>1128</v>
      </c>
      <c r="C356" s="1" t="s">
        <v>1129</v>
      </c>
      <c r="D356" s="1">
        <v>23</v>
      </c>
      <c r="E356" t="s">
        <v>1130</v>
      </c>
      <c r="F356" s="3">
        <v>1</v>
      </c>
      <c r="G356" s="33">
        <v>32874</v>
      </c>
      <c r="H356" s="33">
        <v>32874</v>
      </c>
      <c r="I356" s="1"/>
      <c r="J356" s="1"/>
      <c r="K356" s="1"/>
      <c r="L356" s="1"/>
      <c r="M356" s="1"/>
      <c r="P356" s="3"/>
      <c r="R356" s="1"/>
      <c r="S356" s="1"/>
    </row>
    <row r="357" spans="1:19" ht="14.7" x14ac:dyDescent="0.65">
      <c r="A357" s="34">
        <v>356</v>
      </c>
      <c r="B357" s="3" t="s">
        <v>1131</v>
      </c>
      <c r="C357" s="1" t="s">
        <v>1132</v>
      </c>
      <c r="D357" s="1">
        <v>23</v>
      </c>
      <c r="E357" t="s">
        <v>1133</v>
      </c>
      <c r="F357" s="3">
        <v>1</v>
      </c>
      <c r="G357" s="33">
        <v>32874</v>
      </c>
      <c r="H357" s="33">
        <v>32874</v>
      </c>
      <c r="I357" s="1"/>
      <c r="J357" s="1"/>
      <c r="K357" s="1"/>
      <c r="L357" s="1"/>
      <c r="M357" s="1"/>
      <c r="P357" s="3"/>
      <c r="R357" s="1"/>
      <c r="S357" s="1"/>
    </row>
    <row r="358" spans="1:19" ht="14.7" x14ac:dyDescent="0.65">
      <c r="A358" s="34">
        <v>357</v>
      </c>
      <c r="B358" s="3" t="s">
        <v>1134</v>
      </c>
      <c r="C358" s="1" t="s">
        <v>1135</v>
      </c>
      <c r="D358" s="1">
        <v>23</v>
      </c>
      <c r="E358" t="s">
        <v>1136</v>
      </c>
      <c r="F358" s="3">
        <v>1</v>
      </c>
      <c r="G358" s="33">
        <v>32874</v>
      </c>
      <c r="H358" s="33">
        <v>32874</v>
      </c>
      <c r="I358" s="1"/>
      <c r="J358" s="1"/>
      <c r="K358" s="1"/>
      <c r="L358" s="1"/>
      <c r="M358" s="1"/>
      <c r="P358" s="3"/>
      <c r="R358" s="1"/>
      <c r="S358" s="1"/>
    </row>
    <row r="359" spans="1:19" ht="14.7" x14ac:dyDescent="0.65">
      <c r="A359" s="34">
        <v>358</v>
      </c>
      <c r="B359" s="3" t="s">
        <v>1137</v>
      </c>
      <c r="C359" s="1" t="s">
        <v>1138</v>
      </c>
      <c r="D359" s="1">
        <v>24</v>
      </c>
      <c r="E359" t="s">
        <v>1139</v>
      </c>
      <c r="F359" s="3">
        <v>1</v>
      </c>
      <c r="G359" s="33">
        <v>32874</v>
      </c>
      <c r="H359" s="33">
        <v>32874</v>
      </c>
      <c r="I359" s="1"/>
      <c r="J359" s="1"/>
      <c r="K359" s="1"/>
      <c r="L359" s="1"/>
      <c r="M359" s="1"/>
      <c r="P359" s="3"/>
      <c r="R359" s="1"/>
      <c r="S359" s="1"/>
    </row>
    <row r="360" spans="1:19" ht="14.7" x14ac:dyDescent="0.65">
      <c r="A360" s="34">
        <v>359</v>
      </c>
      <c r="B360" s="3" t="s">
        <v>1141</v>
      </c>
      <c r="C360" s="1" t="s">
        <v>1142</v>
      </c>
      <c r="D360" s="1">
        <v>24</v>
      </c>
      <c r="E360" t="s">
        <v>1143</v>
      </c>
      <c r="F360" s="3">
        <v>1</v>
      </c>
      <c r="G360" s="33">
        <v>32874</v>
      </c>
      <c r="H360" s="33">
        <v>32874</v>
      </c>
      <c r="I360" s="1"/>
      <c r="J360" s="1"/>
      <c r="K360" s="1"/>
      <c r="L360" s="1"/>
      <c r="M360" s="1"/>
      <c r="P360" s="3"/>
      <c r="R360" s="1"/>
      <c r="S360" s="1"/>
    </row>
    <row r="361" spans="1:19" ht="14.7" x14ac:dyDescent="0.65">
      <c r="A361" s="34">
        <v>360</v>
      </c>
      <c r="B361" s="3" t="s">
        <v>1144</v>
      </c>
      <c r="C361" s="1" t="s">
        <v>1145</v>
      </c>
      <c r="D361" s="1">
        <v>24</v>
      </c>
      <c r="E361" t="s">
        <v>1146</v>
      </c>
      <c r="F361" s="3">
        <v>1</v>
      </c>
      <c r="G361" s="33">
        <v>32874</v>
      </c>
      <c r="H361" s="33">
        <v>32874</v>
      </c>
      <c r="I361" s="1"/>
      <c r="J361" s="1"/>
      <c r="K361" s="1"/>
      <c r="L361" s="1"/>
      <c r="M361" s="1"/>
      <c r="P361" s="3"/>
      <c r="R361" s="1"/>
      <c r="S361" s="1"/>
    </row>
    <row r="362" spans="1:19" ht="14.7" x14ac:dyDescent="0.65">
      <c r="A362" s="34">
        <v>361</v>
      </c>
      <c r="B362" s="3" t="s">
        <v>1147</v>
      </c>
      <c r="C362" s="1" t="s">
        <v>1148</v>
      </c>
      <c r="D362" s="1">
        <v>24</v>
      </c>
      <c r="E362" t="s">
        <v>1149</v>
      </c>
      <c r="F362" s="3">
        <v>1</v>
      </c>
      <c r="G362" s="33">
        <v>32874</v>
      </c>
      <c r="H362" s="33">
        <v>32874</v>
      </c>
      <c r="I362" s="1"/>
      <c r="J362" s="1"/>
      <c r="K362" s="1"/>
      <c r="L362" s="1"/>
      <c r="M362" s="1"/>
      <c r="P362" s="3"/>
      <c r="R362" s="1"/>
      <c r="S362" s="1"/>
    </row>
    <row r="363" spans="1:19" ht="14.7" x14ac:dyDescent="0.65">
      <c r="A363" s="34">
        <v>362</v>
      </c>
      <c r="B363" s="3" t="s">
        <v>1150</v>
      </c>
      <c r="C363" s="1" t="s">
        <v>1151</v>
      </c>
      <c r="D363" s="1">
        <v>24</v>
      </c>
      <c r="E363" t="s">
        <v>1152</v>
      </c>
      <c r="F363" s="3">
        <v>1</v>
      </c>
      <c r="G363" s="33">
        <v>32874</v>
      </c>
      <c r="H363" s="33">
        <v>32874</v>
      </c>
      <c r="I363" s="1"/>
      <c r="J363" s="1"/>
      <c r="K363" s="1"/>
      <c r="L363" s="1"/>
      <c r="M363" s="1"/>
      <c r="P363" s="3"/>
      <c r="R363" s="1"/>
      <c r="S363" s="1"/>
    </row>
    <row r="364" spans="1:19" ht="14.7" x14ac:dyDescent="0.65">
      <c r="A364" s="34">
        <v>363</v>
      </c>
      <c r="B364" s="3" t="s">
        <v>1153</v>
      </c>
      <c r="C364" s="1" t="s">
        <v>1154</v>
      </c>
      <c r="D364" s="1">
        <v>24</v>
      </c>
      <c r="E364" t="s">
        <v>1155</v>
      </c>
      <c r="F364" s="3">
        <v>1</v>
      </c>
      <c r="G364" s="33">
        <v>32874</v>
      </c>
      <c r="H364" s="33">
        <v>32874</v>
      </c>
      <c r="I364" s="1"/>
      <c r="J364" s="1"/>
      <c r="K364" s="1"/>
      <c r="L364" s="1"/>
      <c r="M364" s="1"/>
      <c r="P364" s="3"/>
      <c r="R364" s="1"/>
      <c r="S364" s="1"/>
    </row>
    <row r="365" spans="1:19" ht="14.7" x14ac:dyDescent="0.65">
      <c r="A365" s="34">
        <v>364</v>
      </c>
      <c r="B365" s="3" t="s">
        <v>1156</v>
      </c>
      <c r="C365" s="1" t="s">
        <v>1157</v>
      </c>
      <c r="D365" s="1">
        <v>24</v>
      </c>
      <c r="E365" t="s">
        <v>1158</v>
      </c>
      <c r="F365" s="3">
        <v>1</v>
      </c>
      <c r="G365" s="33">
        <v>32874</v>
      </c>
      <c r="H365" s="33">
        <v>32874</v>
      </c>
      <c r="I365" s="1"/>
      <c r="J365" s="1"/>
      <c r="K365" s="1"/>
      <c r="L365" s="1"/>
      <c r="M365" s="1"/>
      <c r="P365" s="3"/>
      <c r="R365" s="1"/>
      <c r="S365" s="1"/>
    </row>
    <row r="366" spans="1:19" ht="14.7" x14ac:dyDescent="0.65">
      <c r="A366" s="34">
        <v>365</v>
      </c>
      <c r="B366" s="3" t="s">
        <v>1159</v>
      </c>
      <c r="C366" s="1" t="s">
        <v>1160</v>
      </c>
      <c r="D366" s="1">
        <v>24</v>
      </c>
      <c r="E366" t="s">
        <v>1161</v>
      </c>
      <c r="F366" s="3">
        <v>1</v>
      </c>
      <c r="G366" s="33">
        <v>32874</v>
      </c>
      <c r="H366" s="33">
        <v>32874</v>
      </c>
      <c r="I366" s="1"/>
      <c r="J366" s="1"/>
      <c r="K366" s="1"/>
      <c r="L366" s="1"/>
      <c r="M366" s="1"/>
      <c r="P366" s="3"/>
      <c r="R366" s="1"/>
      <c r="S366" s="1"/>
    </row>
    <row r="367" spans="1:19" ht="14.7" x14ac:dyDescent="0.65">
      <c r="A367" s="34">
        <v>366</v>
      </c>
      <c r="B367" s="3" t="s">
        <v>1162</v>
      </c>
      <c r="C367" s="1" t="s">
        <v>1163</v>
      </c>
      <c r="D367" s="1">
        <v>24</v>
      </c>
      <c r="E367" t="s">
        <v>1164</v>
      </c>
      <c r="F367" s="3">
        <v>1</v>
      </c>
      <c r="G367" s="33">
        <v>32874</v>
      </c>
      <c r="H367" s="33">
        <v>32874</v>
      </c>
      <c r="I367" s="1"/>
      <c r="J367" s="1"/>
      <c r="K367" s="1"/>
      <c r="L367" s="1"/>
      <c r="M367" s="1"/>
      <c r="P367" s="3"/>
      <c r="R367" s="1"/>
      <c r="S367" s="1"/>
    </row>
    <row r="368" spans="1:19" ht="14.7" x14ac:dyDescent="0.65">
      <c r="A368" s="34">
        <v>367</v>
      </c>
      <c r="B368" s="3" t="s">
        <v>1165</v>
      </c>
      <c r="C368" s="1" t="s">
        <v>1166</v>
      </c>
      <c r="D368" s="1">
        <v>25</v>
      </c>
      <c r="E368" t="s">
        <v>1167</v>
      </c>
      <c r="F368" s="3">
        <v>1</v>
      </c>
      <c r="G368" s="33">
        <v>32874</v>
      </c>
      <c r="H368" s="33">
        <v>32874</v>
      </c>
      <c r="I368" s="1"/>
      <c r="J368" s="1"/>
      <c r="K368" s="1"/>
      <c r="L368" s="1"/>
      <c r="M368" s="1"/>
      <c r="P368" s="3"/>
      <c r="R368" s="1"/>
      <c r="S368" s="1"/>
    </row>
    <row r="369" spans="1:19" ht="14.7" x14ac:dyDescent="0.65">
      <c r="A369" s="34">
        <v>368</v>
      </c>
      <c r="B369" s="3" t="s">
        <v>1168</v>
      </c>
      <c r="C369" s="1" t="s">
        <v>1169</v>
      </c>
      <c r="D369" s="1">
        <v>25</v>
      </c>
      <c r="E369" t="s">
        <v>1170</v>
      </c>
      <c r="F369" s="3">
        <v>1</v>
      </c>
      <c r="G369" s="33">
        <v>32874</v>
      </c>
      <c r="H369" s="33">
        <v>32874</v>
      </c>
      <c r="I369" s="1"/>
      <c r="J369" s="1"/>
      <c r="K369" s="1"/>
      <c r="L369" s="1"/>
      <c r="M369" s="1"/>
      <c r="P369" s="3"/>
      <c r="R369" s="1"/>
      <c r="S369" s="1"/>
    </row>
    <row r="370" spans="1:19" ht="14.7" x14ac:dyDescent="0.65">
      <c r="A370" s="34">
        <v>369</v>
      </c>
      <c r="B370" s="3" t="s">
        <v>1171</v>
      </c>
      <c r="C370" s="1" t="s">
        <v>1172</v>
      </c>
      <c r="D370" s="1">
        <v>25</v>
      </c>
      <c r="E370" t="s">
        <v>1173</v>
      </c>
      <c r="F370" s="3">
        <v>1</v>
      </c>
      <c r="G370" s="33">
        <v>32874</v>
      </c>
      <c r="H370" s="33">
        <v>32874</v>
      </c>
      <c r="I370" s="1"/>
      <c r="J370" s="1"/>
      <c r="K370" s="1"/>
      <c r="L370" s="1"/>
      <c r="M370" s="1"/>
      <c r="P370" s="3"/>
      <c r="R370" s="1"/>
      <c r="S370" s="1"/>
    </row>
    <row r="371" spans="1:19" ht="14.7" x14ac:dyDescent="0.65">
      <c r="A371" s="34">
        <v>370</v>
      </c>
      <c r="B371" s="3" t="s">
        <v>1174</v>
      </c>
      <c r="C371" s="1" t="s">
        <v>1175</v>
      </c>
      <c r="D371" s="1">
        <v>26</v>
      </c>
      <c r="E371" t="s">
        <v>1176</v>
      </c>
      <c r="F371" s="3">
        <v>1</v>
      </c>
      <c r="G371" s="33">
        <v>32874</v>
      </c>
      <c r="H371" s="33">
        <v>32874</v>
      </c>
      <c r="I371" s="1"/>
      <c r="J371" s="1"/>
      <c r="K371" s="1"/>
      <c r="L371" s="1"/>
      <c r="M371" s="1"/>
      <c r="P371" s="3"/>
      <c r="R371" s="1"/>
      <c r="S371" s="1"/>
    </row>
    <row r="372" spans="1:19" ht="14.7" x14ac:dyDescent="0.65">
      <c r="A372" s="34">
        <v>371</v>
      </c>
      <c r="B372" s="3" t="s">
        <v>1177</v>
      </c>
      <c r="C372" s="1" t="s">
        <v>1178</v>
      </c>
      <c r="D372" s="1">
        <v>27</v>
      </c>
      <c r="E372" t="s">
        <v>1179</v>
      </c>
      <c r="F372" s="3">
        <v>1</v>
      </c>
      <c r="G372" s="33">
        <v>32874</v>
      </c>
      <c r="H372" s="33">
        <v>32874</v>
      </c>
      <c r="I372" s="1"/>
      <c r="J372" s="1"/>
      <c r="K372" s="1"/>
      <c r="L372" s="1"/>
      <c r="M372" s="1"/>
      <c r="P372" s="3"/>
      <c r="R372" s="1"/>
      <c r="S372" s="1"/>
    </row>
    <row r="373" spans="1:19" ht="14.7" x14ac:dyDescent="0.65">
      <c r="A373" s="34">
        <v>372</v>
      </c>
      <c r="B373" s="3" t="s">
        <v>1180</v>
      </c>
      <c r="C373" s="1" t="s">
        <v>1181</v>
      </c>
      <c r="D373" s="1">
        <v>27</v>
      </c>
      <c r="E373" t="s">
        <v>1182</v>
      </c>
      <c r="F373" s="3">
        <v>1</v>
      </c>
      <c r="G373" s="33">
        <v>32874</v>
      </c>
      <c r="H373" s="33">
        <v>32874</v>
      </c>
      <c r="I373" s="1"/>
      <c r="J373" s="1"/>
      <c r="K373" s="1"/>
      <c r="L373" s="1"/>
      <c r="M373" s="1"/>
      <c r="P373" s="3"/>
      <c r="R373" s="1"/>
      <c r="S373" s="1"/>
    </row>
    <row r="374" spans="1:19" ht="14.7" x14ac:dyDescent="0.65">
      <c r="A374" s="34">
        <v>373</v>
      </c>
      <c r="B374" s="3" t="s">
        <v>1183</v>
      </c>
      <c r="C374" s="1" t="s">
        <v>1184</v>
      </c>
      <c r="D374" s="1">
        <v>28</v>
      </c>
      <c r="E374" t="s">
        <v>1185</v>
      </c>
      <c r="F374" s="3">
        <v>1</v>
      </c>
      <c r="G374" s="33">
        <v>32874</v>
      </c>
      <c r="H374" s="33">
        <v>32874</v>
      </c>
      <c r="I374" s="1"/>
      <c r="J374" s="1"/>
      <c r="K374" s="1"/>
      <c r="L374" s="1"/>
      <c r="M374" s="1"/>
      <c r="P374" s="3"/>
      <c r="R374" s="1"/>
      <c r="S374" s="1"/>
    </row>
    <row r="375" spans="1:19" ht="14.7" x14ac:dyDescent="0.65">
      <c r="A375" s="34">
        <v>374</v>
      </c>
      <c r="B375" s="3" t="s">
        <v>1186</v>
      </c>
      <c r="C375" s="1" t="s">
        <v>1187</v>
      </c>
      <c r="D375" s="1">
        <v>28</v>
      </c>
      <c r="E375" t="s">
        <v>1188</v>
      </c>
      <c r="F375" s="3">
        <v>1</v>
      </c>
      <c r="G375" s="33">
        <v>32874</v>
      </c>
      <c r="H375" s="33">
        <v>32874</v>
      </c>
      <c r="I375" s="1"/>
      <c r="J375" s="1"/>
      <c r="K375" s="1"/>
      <c r="L375" s="1"/>
      <c r="M375" s="1"/>
      <c r="P375" s="3"/>
      <c r="R375" s="1"/>
      <c r="S375" s="1"/>
    </row>
    <row r="376" spans="1:19" ht="14.7" x14ac:dyDescent="0.65">
      <c r="A376" s="34">
        <v>375</v>
      </c>
      <c r="B376" s="3" t="s">
        <v>1189</v>
      </c>
      <c r="C376" s="1" t="s">
        <v>1190</v>
      </c>
      <c r="D376" s="1">
        <v>28</v>
      </c>
      <c r="E376" t="s">
        <v>1191</v>
      </c>
      <c r="F376" s="3">
        <v>1</v>
      </c>
      <c r="G376" s="33">
        <v>32874</v>
      </c>
      <c r="H376" s="33">
        <v>32874</v>
      </c>
      <c r="I376" s="1"/>
      <c r="J376" s="1"/>
      <c r="K376" s="1"/>
      <c r="L376" s="1"/>
      <c r="M376" s="1"/>
      <c r="P376" s="3"/>
      <c r="R376" s="1"/>
      <c r="S376" s="1"/>
    </row>
    <row r="377" spans="1:19" ht="14.7" x14ac:dyDescent="0.65">
      <c r="A377" s="34">
        <v>376</v>
      </c>
      <c r="B377" s="3" t="s">
        <v>1192</v>
      </c>
      <c r="C377" s="1" t="s">
        <v>1193</v>
      </c>
      <c r="D377" s="1">
        <v>28</v>
      </c>
      <c r="E377" t="s">
        <v>1194</v>
      </c>
      <c r="F377" s="3">
        <v>1</v>
      </c>
      <c r="G377" s="33">
        <v>32874</v>
      </c>
      <c r="H377" s="33">
        <v>32874</v>
      </c>
      <c r="I377" s="1"/>
      <c r="J377" s="1"/>
      <c r="K377" s="1"/>
      <c r="L377" s="1"/>
      <c r="M377" s="1"/>
      <c r="P377" s="3"/>
      <c r="R377" s="1"/>
      <c r="S377" s="1"/>
    </row>
    <row r="378" spans="1:19" ht="14.7" x14ac:dyDescent="0.65">
      <c r="A378" s="34">
        <v>377</v>
      </c>
      <c r="B378" s="3" t="s">
        <v>1195</v>
      </c>
      <c r="C378" s="1" t="s">
        <v>1196</v>
      </c>
      <c r="D378" s="1">
        <v>28</v>
      </c>
      <c r="E378" t="s">
        <v>1197</v>
      </c>
      <c r="F378" s="3">
        <v>1</v>
      </c>
      <c r="G378" s="33">
        <v>32874</v>
      </c>
      <c r="H378" s="33">
        <v>32874</v>
      </c>
      <c r="I378" s="1"/>
      <c r="J378" s="1"/>
      <c r="K378" s="1"/>
      <c r="L378" s="1"/>
      <c r="M378" s="1"/>
      <c r="P378" s="3"/>
      <c r="R378" s="1"/>
      <c r="S378" s="1"/>
    </row>
    <row r="379" spans="1:19" ht="14.7" x14ac:dyDescent="0.65">
      <c r="A379" s="34">
        <v>378</v>
      </c>
      <c r="B379" s="3" t="s">
        <v>1198</v>
      </c>
      <c r="C379" s="1" t="s">
        <v>1199</v>
      </c>
      <c r="D379" s="1">
        <v>28</v>
      </c>
      <c r="E379" t="s">
        <v>1200</v>
      </c>
      <c r="F379" s="3">
        <v>1</v>
      </c>
      <c r="G379" s="33">
        <v>32874</v>
      </c>
      <c r="H379" s="33">
        <v>32874</v>
      </c>
      <c r="I379" s="1"/>
      <c r="J379" s="1"/>
      <c r="K379" s="1"/>
      <c r="L379" s="1"/>
      <c r="M379" s="1"/>
      <c r="P379" s="3"/>
      <c r="R379" s="1"/>
      <c r="S379" s="1"/>
    </row>
    <row r="380" spans="1:19" ht="14.7" x14ac:dyDescent="0.65">
      <c r="A380" s="34">
        <v>379</v>
      </c>
      <c r="B380" s="3" t="s">
        <v>1201</v>
      </c>
      <c r="C380" s="1" t="s">
        <v>1202</v>
      </c>
      <c r="D380" s="1">
        <v>28</v>
      </c>
      <c r="E380" t="s">
        <v>1203</v>
      </c>
      <c r="F380" s="3">
        <v>1</v>
      </c>
      <c r="G380" s="33">
        <v>32874</v>
      </c>
      <c r="H380" s="33">
        <v>32874</v>
      </c>
      <c r="I380" s="1"/>
      <c r="J380" s="1"/>
      <c r="K380" s="1"/>
      <c r="L380" s="1"/>
      <c r="M380" s="1"/>
      <c r="P380" s="3"/>
      <c r="R380" s="1"/>
      <c r="S380" s="1"/>
    </row>
    <row r="381" spans="1:19" ht="14.7" x14ac:dyDescent="0.65">
      <c r="A381" s="34">
        <v>380</v>
      </c>
      <c r="B381" s="3" t="s">
        <v>1204</v>
      </c>
      <c r="C381" s="1" t="s">
        <v>1205</v>
      </c>
      <c r="D381" s="1">
        <v>28</v>
      </c>
      <c r="E381" t="s">
        <v>1206</v>
      </c>
      <c r="F381" s="3">
        <v>1</v>
      </c>
      <c r="G381" s="33">
        <v>32874</v>
      </c>
      <c r="H381" s="33">
        <v>32874</v>
      </c>
      <c r="I381" s="1"/>
      <c r="J381" s="1"/>
      <c r="K381" s="1"/>
      <c r="L381" s="1"/>
      <c r="M381" s="1"/>
      <c r="P381" s="3"/>
      <c r="R381" s="1"/>
      <c r="S381" s="1"/>
    </row>
    <row r="382" spans="1:19" ht="14.7" x14ac:dyDescent="0.65">
      <c r="A382" s="34">
        <v>381</v>
      </c>
      <c r="B382" s="3" t="s">
        <v>1207</v>
      </c>
      <c r="C382" s="1" t="s">
        <v>1208</v>
      </c>
      <c r="D382" s="1">
        <v>28</v>
      </c>
      <c r="E382" t="s">
        <v>1209</v>
      </c>
      <c r="F382" s="3">
        <v>1</v>
      </c>
      <c r="G382" s="33">
        <v>32874</v>
      </c>
      <c r="H382" s="33">
        <v>32874</v>
      </c>
      <c r="I382" s="1"/>
      <c r="J382" s="1"/>
      <c r="K382" s="1"/>
      <c r="L382" s="1"/>
      <c r="M382" s="1"/>
      <c r="P382" s="3"/>
      <c r="R382" s="1"/>
      <c r="S382" s="1"/>
    </row>
    <row r="383" spans="1:19" ht="14.7" x14ac:dyDescent="0.65">
      <c r="A383" s="34">
        <v>382</v>
      </c>
      <c r="B383" s="3" t="s">
        <v>1210</v>
      </c>
      <c r="C383" s="1" t="s">
        <v>1211</v>
      </c>
      <c r="D383" s="1">
        <v>29</v>
      </c>
      <c r="E383" t="s">
        <v>1212</v>
      </c>
      <c r="F383" s="3">
        <v>1</v>
      </c>
      <c r="G383" s="33">
        <v>32874</v>
      </c>
      <c r="H383" s="33">
        <v>32874</v>
      </c>
      <c r="I383" s="1"/>
      <c r="J383" s="1"/>
      <c r="K383" s="1"/>
      <c r="L383" s="1"/>
      <c r="M383" s="1"/>
      <c r="P383" s="3"/>
      <c r="R383" s="1"/>
      <c r="S383" s="1"/>
    </row>
    <row r="384" spans="1:19" ht="14.7" x14ac:dyDescent="0.65">
      <c r="A384" s="34">
        <v>383</v>
      </c>
      <c r="B384" s="3" t="s">
        <v>1213</v>
      </c>
      <c r="C384" s="1" t="s">
        <v>1214</v>
      </c>
      <c r="D384" s="1">
        <v>29</v>
      </c>
      <c r="E384" t="s">
        <v>1215</v>
      </c>
      <c r="F384" s="3">
        <v>1</v>
      </c>
      <c r="G384" s="33">
        <v>32874</v>
      </c>
      <c r="H384" s="33">
        <v>32874</v>
      </c>
      <c r="I384" s="1"/>
      <c r="J384" s="1"/>
      <c r="K384" s="1"/>
      <c r="L384" s="1"/>
      <c r="M384" s="1"/>
      <c r="P384" s="3"/>
      <c r="R384" s="1"/>
      <c r="S384" s="1"/>
    </row>
    <row r="385" spans="1:19" ht="14.7" x14ac:dyDescent="0.65">
      <c r="A385" s="34">
        <v>384</v>
      </c>
      <c r="B385" s="3" t="s">
        <v>1216</v>
      </c>
      <c r="C385" s="1" t="s">
        <v>1217</v>
      </c>
      <c r="D385" s="1">
        <v>29</v>
      </c>
      <c r="E385" t="s">
        <v>1218</v>
      </c>
      <c r="F385" s="3">
        <v>1</v>
      </c>
      <c r="G385" s="33">
        <v>32874</v>
      </c>
      <c r="H385" s="33">
        <v>32874</v>
      </c>
      <c r="I385" s="1"/>
      <c r="J385" s="1"/>
      <c r="K385" s="1"/>
      <c r="L385" s="1"/>
      <c r="M385" s="1"/>
      <c r="P385" s="3"/>
      <c r="R385" s="1"/>
      <c r="S385" s="1"/>
    </row>
    <row r="386" spans="1:19" ht="14.7" x14ac:dyDescent="0.65">
      <c r="A386" s="34">
        <v>385</v>
      </c>
      <c r="B386" s="3" t="s">
        <v>1219</v>
      </c>
      <c r="C386" s="1" t="s">
        <v>1220</v>
      </c>
      <c r="D386" s="1">
        <v>29</v>
      </c>
      <c r="E386" t="s">
        <v>1221</v>
      </c>
      <c r="F386" s="3">
        <v>1</v>
      </c>
      <c r="G386" s="33">
        <v>32874</v>
      </c>
      <c r="H386" s="33">
        <v>32874</v>
      </c>
      <c r="I386" s="1"/>
      <c r="J386" s="1"/>
      <c r="K386" s="1"/>
      <c r="L386" s="1"/>
      <c r="M386" s="1"/>
      <c r="P386" s="3"/>
      <c r="R386" s="1"/>
      <c r="S386" s="1"/>
    </row>
    <row r="387" spans="1:19" ht="14.7" x14ac:dyDescent="0.65">
      <c r="A387" s="34">
        <v>386</v>
      </c>
      <c r="B387" s="3" t="s">
        <v>1222</v>
      </c>
      <c r="C387" s="1" t="s">
        <v>1223</v>
      </c>
      <c r="D387" s="1">
        <v>29</v>
      </c>
      <c r="E387" t="s">
        <v>1224</v>
      </c>
      <c r="F387" s="3">
        <v>1</v>
      </c>
      <c r="G387" s="33">
        <v>32874</v>
      </c>
      <c r="H387" s="33">
        <v>32874</v>
      </c>
      <c r="I387" s="1"/>
      <c r="J387" s="1"/>
      <c r="K387" s="1"/>
      <c r="L387" s="1"/>
      <c r="M387" s="1"/>
      <c r="P387" s="3"/>
      <c r="R387" s="1"/>
      <c r="S387" s="1"/>
    </row>
    <row r="388" spans="1:19" ht="14.7" x14ac:dyDescent="0.65">
      <c r="A388" s="34">
        <v>387</v>
      </c>
      <c r="B388" s="3" t="s">
        <v>1225</v>
      </c>
      <c r="C388" s="1" t="s">
        <v>1226</v>
      </c>
      <c r="D388" s="1">
        <v>29</v>
      </c>
      <c r="E388" t="s">
        <v>1227</v>
      </c>
      <c r="F388" s="3">
        <v>1</v>
      </c>
      <c r="G388" s="33">
        <v>32874</v>
      </c>
      <c r="H388" s="33">
        <v>32874</v>
      </c>
      <c r="I388" s="1"/>
      <c r="J388" s="1"/>
      <c r="K388" s="1"/>
      <c r="L388" s="1"/>
      <c r="M388" s="1"/>
      <c r="P388" s="3"/>
      <c r="R388" s="1"/>
      <c r="S388" s="1"/>
    </row>
    <row r="389" spans="1:19" ht="14.7" x14ac:dyDescent="0.65">
      <c r="A389" s="34">
        <v>388</v>
      </c>
      <c r="B389" s="3" t="s">
        <v>1228</v>
      </c>
      <c r="C389" s="1" t="s">
        <v>1229</v>
      </c>
      <c r="D389" s="1">
        <v>29</v>
      </c>
      <c r="E389" t="s">
        <v>1230</v>
      </c>
      <c r="F389" s="3">
        <v>1</v>
      </c>
      <c r="G389" s="33">
        <v>32874</v>
      </c>
      <c r="H389" s="33">
        <v>32874</v>
      </c>
      <c r="I389" s="1"/>
      <c r="J389" s="1"/>
      <c r="K389" s="1"/>
      <c r="L389" s="1"/>
      <c r="M389" s="1"/>
      <c r="P389" s="3"/>
      <c r="R389" s="1"/>
      <c r="S389" s="1"/>
    </row>
    <row r="390" spans="1:19" ht="14.7" x14ac:dyDescent="0.65">
      <c r="A390" s="34">
        <v>389</v>
      </c>
      <c r="B390" s="3" t="s">
        <v>1231</v>
      </c>
      <c r="C390" s="1" t="s">
        <v>1232</v>
      </c>
      <c r="D390" s="1">
        <v>29</v>
      </c>
      <c r="E390" t="s">
        <v>1233</v>
      </c>
      <c r="F390" s="3">
        <v>1</v>
      </c>
      <c r="G390" s="33">
        <v>32874</v>
      </c>
      <c r="H390" s="33">
        <v>32874</v>
      </c>
      <c r="I390" s="1"/>
      <c r="J390" s="1"/>
      <c r="K390" s="1"/>
      <c r="L390" s="1"/>
      <c r="M390" s="1"/>
      <c r="P390" s="3"/>
      <c r="R390" s="1"/>
      <c r="S390" s="1"/>
    </row>
    <row r="391" spans="1:19" ht="14.7" x14ac:dyDescent="0.65">
      <c r="A391" s="34">
        <v>390</v>
      </c>
      <c r="B391" s="3" t="s">
        <v>1234</v>
      </c>
      <c r="C391" s="1" t="s">
        <v>1235</v>
      </c>
      <c r="D391" s="1">
        <v>29</v>
      </c>
      <c r="E391" t="s">
        <v>1236</v>
      </c>
      <c r="F391" s="3">
        <v>1</v>
      </c>
      <c r="G391" s="33">
        <v>32874</v>
      </c>
      <c r="H391" s="33">
        <v>32874</v>
      </c>
      <c r="I391" s="1"/>
      <c r="J391" s="1"/>
      <c r="K391" s="1"/>
      <c r="L391" s="1"/>
      <c r="M391" s="1"/>
      <c r="P391" s="3"/>
      <c r="R391" s="1"/>
      <c r="S391" s="1"/>
    </row>
    <row r="392" spans="1:19" ht="14.7" x14ac:dyDescent="0.65">
      <c r="A392" s="34">
        <v>391</v>
      </c>
      <c r="B392" s="3" t="s">
        <v>1237</v>
      </c>
      <c r="C392" s="1" t="s">
        <v>1238</v>
      </c>
      <c r="D392" s="1">
        <v>29</v>
      </c>
      <c r="E392" t="s">
        <v>1239</v>
      </c>
      <c r="F392" s="3">
        <v>1</v>
      </c>
      <c r="G392" s="33">
        <v>32874</v>
      </c>
      <c r="H392" s="33">
        <v>32874</v>
      </c>
      <c r="I392" s="1"/>
      <c r="J392" s="1"/>
      <c r="K392" s="1"/>
      <c r="L392" s="1"/>
      <c r="M392" s="1"/>
      <c r="P392" s="3"/>
      <c r="R392" s="1"/>
      <c r="S392" s="1"/>
    </row>
    <row r="393" spans="1:19" ht="14.7" x14ac:dyDescent="0.65">
      <c r="A393" s="34">
        <v>392</v>
      </c>
      <c r="B393" s="3" t="s">
        <v>1240</v>
      </c>
      <c r="C393" s="1" t="s">
        <v>1241</v>
      </c>
      <c r="D393" s="1">
        <v>29</v>
      </c>
      <c r="E393" t="s">
        <v>1242</v>
      </c>
      <c r="F393" s="3">
        <v>1</v>
      </c>
      <c r="G393" s="33">
        <v>32874</v>
      </c>
      <c r="H393" s="33">
        <v>32874</v>
      </c>
      <c r="I393" s="1"/>
      <c r="J393" s="1"/>
      <c r="K393" s="1"/>
      <c r="L393" s="1"/>
      <c r="M393" s="1"/>
      <c r="P393" s="3"/>
      <c r="R393" s="1"/>
      <c r="S393" s="1"/>
    </row>
    <row r="394" spans="1:19" ht="14.7" x14ac:dyDescent="0.65">
      <c r="A394" s="34">
        <v>393</v>
      </c>
      <c r="B394" s="3" t="s">
        <v>1243</v>
      </c>
      <c r="C394" s="1" t="s">
        <v>1244</v>
      </c>
      <c r="D394" s="1">
        <v>29</v>
      </c>
      <c r="E394" t="s">
        <v>1245</v>
      </c>
      <c r="F394" s="3">
        <v>1</v>
      </c>
      <c r="G394" s="33">
        <v>32874</v>
      </c>
      <c r="H394" s="33">
        <v>32874</v>
      </c>
      <c r="I394" s="1"/>
      <c r="J394" s="1"/>
      <c r="K394" s="1"/>
      <c r="L394" s="1"/>
      <c r="M394" s="1"/>
      <c r="P394" s="3"/>
      <c r="R394" s="1"/>
      <c r="S394" s="1"/>
    </row>
    <row r="395" spans="1:19" ht="14.7" x14ac:dyDescent="0.65">
      <c r="A395" s="34">
        <v>394</v>
      </c>
      <c r="B395" s="3" t="s">
        <v>1246</v>
      </c>
      <c r="C395" s="1" t="s">
        <v>1247</v>
      </c>
      <c r="D395" s="1">
        <v>29</v>
      </c>
      <c r="E395" t="s">
        <v>1248</v>
      </c>
      <c r="F395" s="3">
        <v>1</v>
      </c>
      <c r="G395" s="33">
        <v>32874</v>
      </c>
      <c r="H395" s="33">
        <v>32874</v>
      </c>
      <c r="I395" s="1"/>
      <c r="J395" s="1"/>
      <c r="K395" s="1"/>
      <c r="L395" s="1"/>
      <c r="M395" s="1"/>
      <c r="P395" s="3"/>
      <c r="R395" s="1"/>
      <c r="S395" s="1"/>
    </row>
    <row r="396" spans="1:19" ht="14.7" x14ac:dyDescent="0.65">
      <c r="A396" s="34">
        <v>395</v>
      </c>
      <c r="B396" s="3" t="s">
        <v>1249</v>
      </c>
      <c r="C396" s="1" t="s">
        <v>1250</v>
      </c>
      <c r="D396" s="1">
        <v>29</v>
      </c>
      <c r="E396" t="s">
        <v>1251</v>
      </c>
      <c r="F396" s="3">
        <v>1</v>
      </c>
      <c r="G396" s="33">
        <v>32874</v>
      </c>
      <c r="H396" s="33">
        <v>32874</v>
      </c>
      <c r="I396" s="1"/>
      <c r="J396" s="1"/>
      <c r="K396" s="1"/>
      <c r="L396" s="1"/>
      <c r="M396" s="1"/>
      <c r="P396" s="3"/>
      <c r="R396" s="1"/>
      <c r="S396" s="1"/>
    </row>
    <row r="397" spans="1:19" ht="14.7" x14ac:dyDescent="0.65">
      <c r="A397" s="34">
        <v>396</v>
      </c>
      <c r="B397" s="3" t="s">
        <v>1252</v>
      </c>
      <c r="C397" s="1" t="s">
        <v>1253</v>
      </c>
      <c r="D397" s="1">
        <v>29</v>
      </c>
      <c r="E397" t="s">
        <v>1254</v>
      </c>
      <c r="F397" s="3">
        <v>1</v>
      </c>
      <c r="G397" s="33">
        <v>32874</v>
      </c>
      <c r="H397" s="33">
        <v>32874</v>
      </c>
      <c r="I397" s="1"/>
      <c r="J397" s="1"/>
      <c r="K397" s="1"/>
      <c r="L397" s="1"/>
      <c r="M397" s="1"/>
      <c r="P397" s="3"/>
      <c r="R397" s="1"/>
      <c r="S397" s="1"/>
    </row>
    <row r="398" spans="1:19" ht="14.7" x14ac:dyDescent="0.65">
      <c r="A398" s="34">
        <v>397</v>
      </c>
      <c r="B398" s="3" t="s">
        <v>1255</v>
      </c>
      <c r="C398" s="1" t="s">
        <v>1256</v>
      </c>
      <c r="D398" s="1">
        <v>29</v>
      </c>
      <c r="E398" t="s">
        <v>1257</v>
      </c>
      <c r="F398" s="3">
        <v>1</v>
      </c>
      <c r="G398" s="33">
        <v>32874</v>
      </c>
      <c r="H398" s="33">
        <v>32874</v>
      </c>
      <c r="I398" s="1"/>
      <c r="J398" s="1"/>
      <c r="K398" s="1"/>
      <c r="L398" s="1"/>
      <c r="M398" s="1"/>
      <c r="P398" s="3"/>
      <c r="R398" s="1"/>
      <c r="S398" s="1"/>
    </row>
    <row r="399" spans="1:19" ht="14.7" x14ac:dyDescent="0.65">
      <c r="A399" s="34">
        <v>398</v>
      </c>
      <c r="B399" s="3" t="s">
        <v>1258</v>
      </c>
      <c r="C399" s="1" t="s">
        <v>1259</v>
      </c>
      <c r="D399" s="1">
        <v>29</v>
      </c>
      <c r="E399" t="s">
        <v>1260</v>
      </c>
      <c r="F399" s="3">
        <v>1</v>
      </c>
      <c r="G399" s="33">
        <v>32874</v>
      </c>
      <c r="H399" s="33">
        <v>32874</v>
      </c>
      <c r="I399" s="1"/>
      <c r="J399" s="1"/>
      <c r="K399" s="1"/>
      <c r="L399" s="1"/>
      <c r="M399" s="1"/>
      <c r="P399" s="3"/>
      <c r="R399" s="1"/>
      <c r="S399" s="1"/>
    </row>
    <row r="400" spans="1:19" ht="14.7" x14ac:dyDescent="0.65">
      <c r="A400" s="34">
        <v>399</v>
      </c>
      <c r="B400" s="3" t="s">
        <v>1261</v>
      </c>
      <c r="C400" s="1" t="s">
        <v>1262</v>
      </c>
      <c r="D400" s="1">
        <v>29</v>
      </c>
      <c r="E400" t="s">
        <v>1263</v>
      </c>
      <c r="F400" s="3">
        <v>1</v>
      </c>
      <c r="G400" s="33">
        <v>32874</v>
      </c>
      <c r="H400" s="33">
        <v>32874</v>
      </c>
      <c r="I400" s="1"/>
      <c r="J400" s="1"/>
      <c r="K400" s="1"/>
      <c r="L400" s="1"/>
      <c r="M400" s="1"/>
      <c r="P400" s="3"/>
      <c r="R400" s="1"/>
      <c r="S400" s="1"/>
    </row>
    <row r="401" spans="1:19" ht="14.7" x14ac:dyDescent="0.65">
      <c r="A401" s="34">
        <v>400</v>
      </c>
      <c r="B401" s="3" t="s">
        <v>1264</v>
      </c>
      <c r="C401" s="1" t="s">
        <v>1265</v>
      </c>
      <c r="D401" s="1">
        <v>29</v>
      </c>
      <c r="E401" t="s">
        <v>1266</v>
      </c>
      <c r="F401" s="3">
        <v>1</v>
      </c>
      <c r="G401" s="33">
        <v>32874</v>
      </c>
      <c r="H401" s="33">
        <v>32874</v>
      </c>
      <c r="I401" s="1"/>
      <c r="J401" s="1"/>
      <c r="K401" s="1"/>
      <c r="L401" s="1"/>
      <c r="M401" s="1"/>
      <c r="P401" s="3"/>
      <c r="R401" s="1"/>
      <c r="S401" s="1"/>
    </row>
    <row r="402" spans="1:19" ht="14.7" x14ac:dyDescent="0.65">
      <c r="A402" s="34">
        <v>401</v>
      </c>
      <c r="B402" s="3" t="s">
        <v>1267</v>
      </c>
      <c r="C402" s="1" t="s">
        <v>1268</v>
      </c>
      <c r="D402" s="1">
        <v>29</v>
      </c>
      <c r="E402" t="s">
        <v>1269</v>
      </c>
      <c r="F402" s="3">
        <v>1</v>
      </c>
      <c r="G402" s="33">
        <v>32874</v>
      </c>
      <c r="H402" s="33">
        <v>32874</v>
      </c>
      <c r="I402" s="1"/>
      <c r="J402" s="1"/>
      <c r="K402" s="1"/>
      <c r="L402" s="1"/>
      <c r="M402" s="1"/>
      <c r="P402" s="3"/>
      <c r="R402" s="1"/>
      <c r="S402" s="1"/>
    </row>
    <row r="403" spans="1:19" ht="14.7" x14ac:dyDescent="0.65">
      <c r="A403" s="34">
        <v>402</v>
      </c>
      <c r="B403" s="3" t="s">
        <v>1270</v>
      </c>
      <c r="C403" s="1" t="s">
        <v>1271</v>
      </c>
      <c r="D403" s="1">
        <v>29</v>
      </c>
      <c r="E403" t="s">
        <v>1272</v>
      </c>
      <c r="F403" s="3">
        <v>1</v>
      </c>
      <c r="G403" s="33">
        <v>32874</v>
      </c>
      <c r="H403" s="33">
        <v>32874</v>
      </c>
      <c r="I403" s="1"/>
      <c r="J403" s="1"/>
      <c r="K403" s="1"/>
      <c r="L403" s="1"/>
      <c r="M403" s="1"/>
      <c r="P403" s="3"/>
      <c r="R403" s="1"/>
      <c r="S403" s="1"/>
    </row>
    <row r="404" spans="1:19" ht="14.7" x14ac:dyDescent="0.65">
      <c r="A404" s="34">
        <v>403</v>
      </c>
      <c r="B404" s="3" t="s">
        <v>1273</v>
      </c>
      <c r="C404" s="1" t="s">
        <v>1274</v>
      </c>
      <c r="D404" s="1">
        <v>29</v>
      </c>
      <c r="E404" t="s">
        <v>1275</v>
      </c>
      <c r="F404" s="3">
        <v>1</v>
      </c>
      <c r="G404" s="33">
        <v>32874</v>
      </c>
      <c r="H404" s="33">
        <v>32874</v>
      </c>
      <c r="I404" s="1"/>
      <c r="J404" s="1"/>
      <c r="K404" s="1"/>
      <c r="L404" s="1"/>
      <c r="M404" s="1"/>
      <c r="P404" s="3"/>
      <c r="R404" s="1"/>
      <c r="S404" s="1"/>
    </row>
    <row r="405" spans="1:19" ht="14.7" x14ac:dyDescent="0.65">
      <c r="A405" s="34">
        <v>404</v>
      </c>
      <c r="B405" s="3" t="s">
        <v>1276</v>
      </c>
      <c r="C405" s="1" t="s">
        <v>1277</v>
      </c>
      <c r="D405" s="1">
        <v>30</v>
      </c>
      <c r="E405" t="s">
        <v>1278</v>
      </c>
      <c r="F405" s="3">
        <v>1</v>
      </c>
      <c r="G405" s="33">
        <v>32874</v>
      </c>
      <c r="H405" s="33">
        <v>32874</v>
      </c>
      <c r="I405" s="1"/>
      <c r="J405" s="1"/>
      <c r="K405" s="1"/>
      <c r="L405" s="1"/>
      <c r="M405" s="1"/>
      <c r="P405" s="3"/>
      <c r="R405" s="1"/>
      <c r="S405" s="1"/>
    </row>
    <row r="406" spans="1:19" ht="14.7" x14ac:dyDescent="0.65">
      <c r="A406" s="34">
        <v>405</v>
      </c>
      <c r="B406" s="3" t="s">
        <v>1279</v>
      </c>
      <c r="C406" s="1" t="s">
        <v>1280</v>
      </c>
      <c r="D406" s="1">
        <v>30</v>
      </c>
      <c r="E406" t="s">
        <v>1281</v>
      </c>
      <c r="F406" s="3">
        <v>1</v>
      </c>
      <c r="G406" s="33">
        <v>32874</v>
      </c>
      <c r="H406" s="33">
        <v>32874</v>
      </c>
      <c r="I406" s="1"/>
      <c r="J406" s="1"/>
      <c r="K406" s="1"/>
      <c r="L406" s="1"/>
      <c r="M406" s="1"/>
      <c r="P406" s="3"/>
      <c r="R406" s="1"/>
      <c r="S406" s="1"/>
    </row>
    <row r="407" spans="1:19" ht="14.7" x14ac:dyDescent="0.65">
      <c r="A407" s="34">
        <v>406</v>
      </c>
      <c r="B407" s="3" t="s">
        <v>1282</v>
      </c>
      <c r="C407" s="1" t="s">
        <v>1283</v>
      </c>
      <c r="D407" s="1">
        <v>30</v>
      </c>
      <c r="E407" t="s">
        <v>1284</v>
      </c>
      <c r="F407" s="3">
        <v>1</v>
      </c>
      <c r="G407" s="33">
        <v>32874</v>
      </c>
      <c r="H407" s="33">
        <v>32874</v>
      </c>
      <c r="I407" s="1"/>
      <c r="J407" s="1"/>
      <c r="K407" s="1"/>
      <c r="L407" s="1"/>
      <c r="M407" s="1"/>
      <c r="P407" s="3"/>
      <c r="R407" s="1"/>
      <c r="S407" s="1"/>
    </row>
    <row r="408" spans="1:19" ht="14.7" x14ac:dyDescent="0.65">
      <c r="A408" s="34">
        <v>407</v>
      </c>
      <c r="B408" s="3" t="s">
        <v>1285</v>
      </c>
      <c r="C408" s="1" t="s">
        <v>1286</v>
      </c>
      <c r="D408" s="1">
        <v>30</v>
      </c>
      <c r="E408" t="s">
        <v>1287</v>
      </c>
      <c r="F408" s="3">
        <v>1</v>
      </c>
      <c r="G408" s="33">
        <v>32874</v>
      </c>
      <c r="H408" s="33">
        <v>32874</v>
      </c>
      <c r="I408" s="1"/>
      <c r="J408" s="1"/>
      <c r="K408" s="1"/>
      <c r="L408" s="1"/>
      <c r="M408" s="1"/>
      <c r="P408" s="3"/>
      <c r="R408" s="1"/>
      <c r="S408" s="1"/>
    </row>
    <row r="409" spans="1:19" ht="14.7" x14ac:dyDescent="0.65">
      <c r="A409" s="34">
        <v>408</v>
      </c>
      <c r="B409" s="3" t="s">
        <v>1288</v>
      </c>
      <c r="C409" s="1" t="s">
        <v>1289</v>
      </c>
      <c r="D409" s="1">
        <v>30</v>
      </c>
      <c r="E409" t="s">
        <v>1290</v>
      </c>
      <c r="F409" s="3">
        <v>1</v>
      </c>
      <c r="G409" s="33">
        <v>32874</v>
      </c>
      <c r="H409" s="33">
        <v>32874</v>
      </c>
      <c r="I409" s="1"/>
      <c r="J409" s="1"/>
      <c r="K409" s="1"/>
      <c r="L409" s="1"/>
      <c r="M409" s="1"/>
      <c r="P409" s="3"/>
      <c r="R409" s="1"/>
      <c r="S409" s="1"/>
    </row>
    <row r="410" spans="1:19" ht="14.7" x14ac:dyDescent="0.65">
      <c r="A410" s="34">
        <v>409</v>
      </c>
      <c r="B410" s="3" t="s">
        <v>1291</v>
      </c>
      <c r="C410" s="1" t="s">
        <v>1292</v>
      </c>
      <c r="D410" s="1">
        <v>30</v>
      </c>
      <c r="E410" t="s">
        <v>1293</v>
      </c>
      <c r="F410" s="3">
        <v>1</v>
      </c>
      <c r="G410" s="33">
        <v>32874</v>
      </c>
      <c r="H410" s="33">
        <v>32874</v>
      </c>
      <c r="I410" s="1"/>
      <c r="J410" s="1"/>
      <c r="K410" s="1"/>
      <c r="L410" s="1"/>
      <c r="M410" s="1"/>
      <c r="P410" s="3"/>
      <c r="R410" s="1"/>
      <c r="S410" s="1"/>
    </row>
    <row r="411" spans="1:19" ht="14.7" x14ac:dyDescent="0.65">
      <c r="A411" s="34">
        <v>410</v>
      </c>
      <c r="B411" s="3" t="s">
        <v>1294</v>
      </c>
      <c r="C411" s="1" t="s">
        <v>1295</v>
      </c>
      <c r="D411" s="1">
        <v>30</v>
      </c>
      <c r="E411" t="s">
        <v>1296</v>
      </c>
      <c r="F411" s="3">
        <v>1</v>
      </c>
      <c r="G411" s="33">
        <v>32874</v>
      </c>
      <c r="H411" s="33">
        <v>32874</v>
      </c>
      <c r="I411" s="1"/>
      <c r="J411" s="1"/>
      <c r="K411" s="1"/>
      <c r="L411" s="1"/>
      <c r="M411" s="1"/>
      <c r="P411" s="3"/>
      <c r="R411" s="1"/>
      <c r="S411" s="1"/>
    </row>
    <row r="412" spans="1:19" ht="14.7" x14ac:dyDescent="0.65">
      <c r="A412" s="34">
        <v>411</v>
      </c>
      <c r="B412" s="3" t="s">
        <v>1297</v>
      </c>
      <c r="C412" s="1" t="s">
        <v>1298</v>
      </c>
      <c r="D412" s="1">
        <v>30</v>
      </c>
      <c r="E412" t="s">
        <v>1299</v>
      </c>
      <c r="F412" s="3">
        <v>1</v>
      </c>
      <c r="G412" s="33">
        <v>32874</v>
      </c>
      <c r="H412" s="33">
        <v>32874</v>
      </c>
      <c r="I412" s="1"/>
      <c r="J412" s="1"/>
      <c r="K412" s="1"/>
      <c r="L412" s="1"/>
      <c r="M412" s="1"/>
      <c r="P412" s="3"/>
      <c r="R412" s="1"/>
      <c r="S412" s="1"/>
    </row>
    <row r="413" spans="1:19" ht="14.7" x14ac:dyDescent="0.65">
      <c r="A413" s="34">
        <v>412</v>
      </c>
      <c r="B413" s="3" t="s">
        <v>1300</v>
      </c>
      <c r="C413" s="1" t="s">
        <v>1301</v>
      </c>
      <c r="D413" s="1">
        <v>30</v>
      </c>
      <c r="E413" t="s">
        <v>1302</v>
      </c>
      <c r="F413" s="3">
        <v>1</v>
      </c>
      <c r="G413" s="33">
        <v>32874</v>
      </c>
      <c r="H413" s="33">
        <v>32874</v>
      </c>
      <c r="I413" s="1"/>
      <c r="J413" s="1"/>
      <c r="K413" s="1"/>
      <c r="L413" s="1"/>
      <c r="M413" s="1"/>
      <c r="P413" s="3"/>
      <c r="R413" s="1"/>
      <c r="S413" s="1"/>
    </row>
    <row r="414" spans="1:19" ht="14.7" x14ac:dyDescent="0.65">
      <c r="A414" s="34">
        <v>413</v>
      </c>
      <c r="B414" s="3" t="s">
        <v>1303</v>
      </c>
      <c r="C414" s="1" t="s">
        <v>1304</v>
      </c>
      <c r="D414" s="1">
        <v>30</v>
      </c>
      <c r="E414" t="s">
        <v>1305</v>
      </c>
      <c r="F414" s="3">
        <v>1</v>
      </c>
      <c r="G414" s="33">
        <v>32874</v>
      </c>
      <c r="H414" s="33">
        <v>32874</v>
      </c>
      <c r="I414" s="1"/>
      <c r="J414" s="1"/>
      <c r="K414" s="1"/>
      <c r="L414" s="1"/>
      <c r="M414" s="1"/>
      <c r="P414" s="3"/>
      <c r="R414" s="1"/>
      <c r="S414" s="1"/>
    </row>
    <row r="415" spans="1:19" ht="14.7" x14ac:dyDescent="0.65">
      <c r="A415" s="34">
        <v>414</v>
      </c>
      <c r="B415" s="3" t="s">
        <v>1306</v>
      </c>
      <c r="C415" s="1" t="s">
        <v>1307</v>
      </c>
      <c r="D415" s="1">
        <v>30</v>
      </c>
      <c r="E415" t="s">
        <v>1308</v>
      </c>
      <c r="F415" s="3">
        <v>1</v>
      </c>
      <c r="G415" s="33">
        <v>32874</v>
      </c>
      <c r="H415" s="33">
        <v>32874</v>
      </c>
      <c r="I415" s="1"/>
      <c r="J415" s="1"/>
      <c r="K415" s="1"/>
      <c r="L415" s="1"/>
      <c r="M415" s="1"/>
      <c r="P415" s="3"/>
      <c r="R415" s="1"/>
      <c r="S415" s="1"/>
    </row>
    <row r="416" spans="1:19" ht="14.7" x14ac:dyDescent="0.65">
      <c r="A416" s="34">
        <v>415</v>
      </c>
      <c r="B416" s="3" t="s">
        <v>1309</v>
      </c>
      <c r="C416" s="1" t="s">
        <v>1310</v>
      </c>
      <c r="D416" s="1">
        <v>30</v>
      </c>
      <c r="E416" t="s">
        <v>1311</v>
      </c>
      <c r="F416" s="3">
        <v>1</v>
      </c>
      <c r="G416" s="33">
        <v>32874</v>
      </c>
      <c r="H416" s="33">
        <v>32874</v>
      </c>
      <c r="I416" s="1"/>
      <c r="J416" s="1"/>
      <c r="K416" s="1"/>
      <c r="L416" s="1"/>
      <c r="M416" s="1"/>
      <c r="P416" s="3"/>
      <c r="R416" s="1"/>
      <c r="S416" s="1"/>
    </row>
    <row r="417" spans="1:19" ht="14.7" x14ac:dyDescent="0.65">
      <c r="A417" s="34">
        <v>416</v>
      </c>
      <c r="B417" s="3" t="s">
        <v>1312</v>
      </c>
      <c r="C417" s="1" t="s">
        <v>1313</v>
      </c>
      <c r="D417" s="1">
        <v>30</v>
      </c>
      <c r="E417" t="s">
        <v>1314</v>
      </c>
      <c r="F417" s="3">
        <v>1</v>
      </c>
      <c r="G417" s="33">
        <v>32874</v>
      </c>
      <c r="H417" s="33">
        <v>32874</v>
      </c>
      <c r="I417" s="1"/>
      <c r="J417" s="1"/>
      <c r="K417" s="1"/>
      <c r="L417" s="1"/>
      <c r="M417" s="1"/>
      <c r="P417" s="3"/>
      <c r="R417" s="1"/>
      <c r="S417" s="1"/>
    </row>
    <row r="418" spans="1:19" ht="14.7" x14ac:dyDescent="0.65">
      <c r="A418" s="34">
        <v>417</v>
      </c>
      <c r="B418" s="3" t="s">
        <v>1315</v>
      </c>
      <c r="C418" s="1" t="s">
        <v>1316</v>
      </c>
      <c r="D418" s="1">
        <v>30</v>
      </c>
      <c r="E418" t="s">
        <v>1317</v>
      </c>
      <c r="F418" s="3">
        <v>1</v>
      </c>
      <c r="G418" s="33">
        <v>32874</v>
      </c>
      <c r="H418" s="33">
        <v>32874</v>
      </c>
      <c r="I418" s="1"/>
      <c r="J418" s="1"/>
      <c r="K418" s="1"/>
      <c r="L418" s="1"/>
      <c r="M418" s="1"/>
      <c r="P418" s="3"/>
      <c r="R418" s="1"/>
      <c r="S418" s="1"/>
    </row>
    <row r="419" spans="1:19" ht="14.7" x14ac:dyDescent="0.65">
      <c r="A419" s="34">
        <v>418</v>
      </c>
      <c r="B419" s="3" t="s">
        <v>1318</v>
      </c>
      <c r="C419" s="1" t="s">
        <v>1319</v>
      </c>
      <c r="D419" s="1">
        <v>30</v>
      </c>
      <c r="E419" t="s">
        <v>1320</v>
      </c>
      <c r="F419" s="3">
        <v>1</v>
      </c>
      <c r="G419" s="33">
        <v>32874</v>
      </c>
      <c r="H419" s="33">
        <v>32874</v>
      </c>
      <c r="I419" s="1"/>
      <c r="J419" s="1"/>
      <c r="K419" s="1"/>
      <c r="L419" s="1"/>
      <c r="M419" s="1"/>
      <c r="P419" s="3"/>
      <c r="R419" s="1"/>
      <c r="S419" s="1"/>
    </row>
    <row r="420" spans="1:19" ht="14.7" x14ac:dyDescent="0.65">
      <c r="A420" s="34">
        <v>419</v>
      </c>
      <c r="B420" s="3" t="s">
        <v>1321</v>
      </c>
      <c r="C420" s="1" t="s">
        <v>1322</v>
      </c>
      <c r="D420" s="1">
        <v>30</v>
      </c>
      <c r="E420" t="s">
        <v>1323</v>
      </c>
      <c r="F420" s="3">
        <v>1</v>
      </c>
      <c r="G420" s="33">
        <v>32874</v>
      </c>
      <c r="H420" s="33">
        <v>32874</v>
      </c>
      <c r="I420" s="1"/>
      <c r="J420" s="1"/>
      <c r="K420" s="1"/>
      <c r="L420" s="1"/>
      <c r="M420" s="1"/>
      <c r="P420" s="3"/>
      <c r="R420" s="1"/>
      <c r="S420" s="1"/>
    </row>
    <row r="421" spans="1:19" ht="14.7" x14ac:dyDescent="0.65">
      <c r="A421" s="34">
        <v>420</v>
      </c>
      <c r="B421" s="3" t="s">
        <v>1324</v>
      </c>
      <c r="C421" s="1" t="s">
        <v>1325</v>
      </c>
      <c r="D421" s="1">
        <v>30</v>
      </c>
      <c r="E421" t="s">
        <v>1326</v>
      </c>
      <c r="F421" s="3">
        <v>1</v>
      </c>
      <c r="G421" s="33">
        <v>32874</v>
      </c>
      <c r="H421" s="33">
        <v>32874</v>
      </c>
      <c r="I421" s="1"/>
      <c r="J421" s="1"/>
      <c r="K421" s="1"/>
      <c r="L421" s="1"/>
      <c r="M421" s="1"/>
      <c r="P421" s="3"/>
      <c r="R421" s="1"/>
      <c r="S421" s="1"/>
    </row>
    <row r="422" spans="1:19" ht="14.7" x14ac:dyDescent="0.65">
      <c r="A422" s="34">
        <v>421</v>
      </c>
      <c r="B422" s="3" t="s">
        <v>1327</v>
      </c>
      <c r="C422" s="1" t="s">
        <v>1328</v>
      </c>
      <c r="D422" s="1">
        <v>30</v>
      </c>
      <c r="E422" t="s">
        <v>1329</v>
      </c>
      <c r="F422" s="3">
        <v>1</v>
      </c>
      <c r="G422" s="33">
        <v>32874</v>
      </c>
      <c r="H422" s="33">
        <v>32874</v>
      </c>
      <c r="I422" s="1"/>
      <c r="J422" s="1"/>
      <c r="K422" s="1"/>
      <c r="L422" s="1"/>
      <c r="M422" s="1"/>
      <c r="P422" s="3"/>
      <c r="R422" s="1"/>
      <c r="S422" s="1"/>
    </row>
    <row r="423" spans="1:19" ht="14.7" x14ac:dyDescent="0.65">
      <c r="A423" s="34">
        <v>422</v>
      </c>
      <c r="B423" s="3" t="s">
        <v>1330</v>
      </c>
      <c r="C423" s="1" t="s">
        <v>1328</v>
      </c>
      <c r="D423" s="1">
        <v>30</v>
      </c>
      <c r="E423" t="s">
        <v>1331</v>
      </c>
      <c r="F423" s="3">
        <v>1</v>
      </c>
      <c r="G423" s="33">
        <v>32874</v>
      </c>
      <c r="H423" s="33">
        <v>32874</v>
      </c>
      <c r="I423" s="1"/>
      <c r="J423" s="1"/>
      <c r="K423" s="1"/>
      <c r="L423" s="1"/>
      <c r="M423" s="1"/>
      <c r="P423" s="3"/>
      <c r="R423" s="1"/>
      <c r="S423" s="1"/>
    </row>
    <row r="424" spans="1:19" ht="14.7" x14ac:dyDescent="0.65">
      <c r="A424" s="34">
        <v>423</v>
      </c>
      <c r="B424" s="3" t="s">
        <v>1332</v>
      </c>
      <c r="C424" s="1" t="s">
        <v>1333</v>
      </c>
      <c r="D424" s="1">
        <v>30</v>
      </c>
      <c r="E424" t="s">
        <v>1334</v>
      </c>
      <c r="F424" s="3">
        <v>1</v>
      </c>
      <c r="G424" s="33">
        <v>32874</v>
      </c>
      <c r="H424" s="33">
        <v>32874</v>
      </c>
      <c r="I424" s="1"/>
      <c r="J424" s="1"/>
      <c r="K424" s="1"/>
      <c r="L424" s="1"/>
      <c r="M424" s="1"/>
      <c r="P424" s="3"/>
      <c r="R424" s="1"/>
      <c r="S424" s="1"/>
    </row>
    <row r="425" spans="1:19" ht="14.7" x14ac:dyDescent="0.65">
      <c r="A425" s="34">
        <v>424</v>
      </c>
      <c r="B425" s="3" t="s">
        <v>1335</v>
      </c>
      <c r="C425" s="1" t="s">
        <v>1336</v>
      </c>
      <c r="D425" s="1">
        <v>30</v>
      </c>
      <c r="E425" t="s">
        <v>1337</v>
      </c>
      <c r="F425" s="3">
        <v>1</v>
      </c>
      <c r="G425" s="33">
        <v>32874</v>
      </c>
      <c r="H425" s="33">
        <v>32874</v>
      </c>
      <c r="I425" s="1"/>
      <c r="J425" s="1"/>
      <c r="K425" s="1"/>
      <c r="L425" s="1"/>
      <c r="M425" s="1"/>
      <c r="P425" s="3"/>
      <c r="R425" s="1"/>
      <c r="S425" s="1"/>
    </row>
    <row r="426" spans="1:19" ht="14.7" x14ac:dyDescent="0.65">
      <c r="A426" s="34">
        <v>425</v>
      </c>
      <c r="B426" s="3" t="s">
        <v>1338</v>
      </c>
      <c r="C426" s="1" t="s">
        <v>1339</v>
      </c>
      <c r="D426" s="1">
        <v>30</v>
      </c>
      <c r="E426" t="s">
        <v>1340</v>
      </c>
      <c r="F426" s="3">
        <v>1</v>
      </c>
      <c r="G426" s="33">
        <v>32874</v>
      </c>
      <c r="H426" s="33">
        <v>32874</v>
      </c>
      <c r="I426" s="1"/>
      <c r="J426" s="1"/>
      <c r="K426" s="1"/>
      <c r="L426" s="1"/>
      <c r="M426" s="1"/>
      <c r="P426" s="3"/>
      <c r="R426" s="1"/>
      <c r="S426" s="1"/>
    </row>
    <row r="427" spans="1:19" ht="14.7" x14ac:dyDescent="0.65">
      <c r="A427" s="34">
        <v>426</v>
      </c>
      <c r="B427" s="3" t="s">
        <v>1341</v>
      </c>
      <c r="C427" s="1" t="s">
        <v>1342</v>
      </c>
      <c r="D427" s="1">
        <v>30</v>
      </c>
      <c r="E427" t="s">
        <v>1343</v>
      </c>
      <c r="F427" s="3">
        <v>1</v>
      </c>
      <c r="G427" s="33">
        <v>32874</v>
      </c>
      <c r="H427" s="33">
        <v>32874</v>
      </c>
      <c r="I427" s="1"/>
      <c r="J427" s="1"/>
      <c r="K427" s="1"/>
      <c r="L427" s="1"/>
      <c r="M427" s="1"/>
      <c r="P427" s="3"/>
      <c r="R427" s="1"/>
      <c r="S427" s="1"/>
    </row>
    <row r="428" spans="1:19" ht="14.7" x14ac:dyDescent="0.65">
      <c r="A428" s="34">
        <v>427</v>
      </c>
      <c r="B428" s="3" t="s">
        <v>1344</v>
      </c>
      <c r="C428" s="1" t="s">
        <v>1345</v>
      </c>
      <c r="D428" s="1">
        <v>30</v>
      </c>
      <c r="E428" t="s">
        <v>1346</v>
      </c>
      <c r="F428" s="3">
        <v>1</v>
      </c>
      <c r="G428" s="33">
        <v>32874</v>
      </c>
      <c r="H428" s="33">
        <v>32874</v>
      </c>
      <c r="I428" s="1"/>
      <c r="J428" s="1"/>
      <c r="K428" s="1"/>
      <c r="L428" s="1"/>
      <c r="M428" s="1"/>
      <c r="P428" s="3"/>
      <c r="R428" s="1"/>
      <c r="S428" s="1"/>
    </row>
    <row r="429" spans="1:19" ht="14.7" x14ac:dyDescent="0.65">
      <c r="A429" s="34">
        <v>428</v>
      </c>
      <c r="B429" s="3" t="s">
        <v>1347</v>
      </c>
      <c r="C429" s="1" t="s">
        <v>1348</v>
      </c>
      <c r="D429" s="1">
        <v>30</v>
      </c>
      <c r="E429" t="s">
        <v>1349</v>
      </c>
      <c r="F429" s="3">
        <v>1</v>
      </c>
      <c r="G429" s="33">
        <v>32874</v>
      </c>
      <c r="H429" s="33">
        <v>32874</v>
      </c>
      <c r="I429" s="1"/>
      <c r="J429" s="1"/>
      <c r="K429" s="1"/>
      <c r="L429" s="1"/>
      <c r="M429" s="1"/>
      <c r="P429" s="3"/>
      <c r="R429" s="1"/>
      <c r="S429" s="1"/>
    </row>
    <row r="430" spans="1:19" ht="14.7" x14ac:dyDescent="0.65">
      <c r="A430" s="34">
        <v>429</v>
      </c>
      <c r="B430" s="3" t="s">
        <v>1350</v>
      </c>
      <c r="C430" s="1" t="s">
        <v>1351</v>
      </c>
      <c r="D430" s="1">
        <v>31</v>
      </c>
      <c r="E430" t="s">
        <v>1352</v>
      </c>
      <c r="F430" s="3">
        <v>1</v>
      </c>
      <c r="G430" s="33">
        <v>32874</v>
      </c>
      <c r="H430" s="33">
        <v>32874</v>
      </c>
      <c r="I430" s="1"/>
      <c r="J430" s="1"/>
      <c r="K430" s="1"/>
      <c r="L430" s="1"/>
      <c r="M430" s="1"/>
      <c r="P430" s="3"/>
      <c r="R430" s="1"/>
      <c r="S430" s="1"/>
    </row>
    <row r="431" spans="1:19" ht="14.7" x14ac:dyDescent="0.65">
      <c r="A431" s="34">
        <v>430</v>
      </c>
      <c r="B431" s="3" t="s">
        <v>1353</v>
      </c>
      <c r="C431" s="1" t="s">
        <v>1354</v>
      </c>
      <c r="D431" s="1">
        <v>31</v>
      </c>
      <c r="E431" t="s">
        <v>1355</v>
      </c>
      <c r="F431" s="3">
        <v>1</v>
      </c>
      <c r="G431" s="33">
        <v>32874</v>
      </c>
      <c r="H431" s="33">
        <v>32874</v>
      </c>
      <c r="I431" s="1"/>
      <c r="J431" s="1"/>
      <c r="K431" s="1"/>
      <c r="L431" s="1"/>
      <c r="M431" s="1"/>
      <c r="P431" s="3"/>
      <c r="R431" s="1"/>
      <c r="S431" s="1"/>
    </row>
    <row r="432" spans="1:19" ht="14.7" x14ac:dyDescent="0.65">
      <c r="A432" s="34">
        <v>431</v>
      </c>
      <c r="B432" s="3" t="s">
        <v>1356</v>
      </c>
      <c r="C432" s="1" t="s">
        <v>1357</v>
      </c>
      <c r="D432" s="1">
        <v>31</v>
      </c>
      <c r="E432" t="s">
        <v>1358</v>
      </c>
      <c r="F432" s="3">
        <v>1</v>
      </c>
      <c r="G432" s="33">
        <v>32874</v>
      </c>
      <c r="H432" s="33">
        <v>32874</v>
      </c>
      <c r="I432" s="1"/>
      <c r="J432" s="1"/>
      <c r="K432" s="1"/>
      <c r="L432" s="1"/>
      <c r="M432" s="1"/>
      <c r="P432" s="3"/>
      <c r="R432" s="1"/>
      <c r="S432" s="1"/>
    </row>
    <row r="433" spans="1:19" ht="14.7" x14ac:dyDescent="0.65">
      <c r="A433" s="34">
        <v>432</v>
      </c>
      <c r="B433" s="3" t="s">
        <v>1359</v>
      </c>
      <c r="C433" s="1" t="s">
        <v>1360</v>
      </c>
      <c r="D433" s="1">
        <v>31</v>
      </c>
      <c r="E433" t="s">
        <v>1361</v>
      </c>
      <c r="F433" s="3">
        <v>1</v>
      </c>
      <c r="G433" s="33">
        <v>32874</v>
      </c>
      <c r="H433" s="33">
        <v>32874</v>
      </c>
      <c r="I433" s="1"/>
      <c r="J433" s="1"/>
      <c r="K433" s="1"/>
      <c r="L433" s="1"/>
      <c r="M433" s="1"/>
      <c r="P433" s="3"/>
      <c r="R433" s="1"/>
      <c r="S433" s="1"/>
    </row>
    <row r="434" spans="1:19" ht="14.7" x14ac:dyDescent="0.65">
      <c r="A434" s="34">
        <v>433</v>
      </c>
      <c r="B434" s="3" t="s">
        <v>1362</v>
      </c>
      <c r="C434" s="1" t="s">
        <v>1363</v>
      </c>
      <c r="D434" s="1">
        <v>31</v>
      </c>
      <c r="E434" t="s">
        <v>1364</v>
      </c>
      <c r="F434" s="3">
        <v>1</v>
      </c>
      <c r="G434" s="33">
        <v>32874</v>
      </c>
      <c r="H434" s="33">
        <v>32874</v>
      </c>
      <c r="I434" s="1"/>
      <c r="J434" s="1"/>
      <c r="K434" s="1"/>
      <c r="L434" s="1"/>
      <c r="M434" s="1"/>
      <c r="P434" s="3"/>
      <c r="R434" s="1"/>
      <c r="S434" s="1"/>
    </row>
    <row r="435" spans="1:19" ht="14.7" x14ac:dyDescent="0.65">
      <c r="A435" s="34">
        <v>434</v>
      </c>
      <c r="B435" s="3" t="s">
        <v>1365</v>
      </c>
      <c r="C435" s="1" t="s">
        <v>1366</v>
      </c>
      <c r="D435" s="1">
        <v>31</v>
      </c>
      <c r="E435" t="s">
        <v>1367</v>
      </c>
      <c r="F435" s="3">
        <v>1</v>
      </c>
      <c r="G435" s="33">
        <v>32874</v>
      </c>
      <c r="H435" s="33">
        <v>32874</v>
      </c>
      <c r="I435" s="1"/>
      <c r="J435" s="1"/>
      <c r="K435" s="1"/>
      <c r="L435" s="1"/>
      <c r="M435" s="1"/>
      <c r="P435" s="3"/>
      <c r="R435" s="1"/>
      <c r="S435" s="1"/>
    </row>
    <row r="436" spans="1:19" ht="14.7" x14ac:dyDescent="0.65">
      <c r="A436" s="34">
        <v>435</v>
      </c>
      <c r="B436" s="3" t="s">
        <v>1368</v>
      </c>
      <c r="C436" s="1" t="s">
        <v>1369</v>
      </c>
      <c r="D436" s="1">
        <v>31</v>
      </c>
      <c r="E436" t="s">
        <v>1370</v>
      </c>
      <c r="F436" s="3">
        <v>1</v>
      </c>
      <c r="G436" s="33">
        <v>32874</v>
      </c>
      <c r="H436" s="33">
        <v>32874</v>
      </c>
      <c r="I436" s="1"/>
      <c r="J436" s="1"/>
      <c r="K436" s="1"/>
      <c r="L436" s="1"/>
      <c r="M436" s="1"/>
      <c r="P436" s="3"/>
      <c r="R436" s="1"/>
      <c r="S436" s="1"/>
    </row>
    <row r="437" spans="1:19" ht="14.7" x14ac:dyDescent="0.65">
      <c r="A437" s="34">
        <v>436</v>
      </c>
      <c r="B437" s="3" t="s">
        <v>1371</v>
      </c>
      <c r="C437" s="1" t="s">
        <v>1372</v>
      </c>
      <c r="D437" s="1">
        <v>31</v>
      </c>
      <c r="E437" t="s">
        <v>1373</v>
      </c>
      <c r="F437" s="3">
        <v>1</v>
      </c>
      <c r="G437" s="33">
        <v>32874</v>
      </c>
      <c r="H437" s="33">
        <v>32874</v>
      </c>
      <c r="I437" s="1"/>
      <c r="J437" s="1"/>
      <c r="K437" s="1"/>
      <c r="L437" s="1"/>
      <c r="M437" s="1"/>
      <c r="P437" s="3"/>
      <c r="R437" s="1"/>
      <c r="S437" s="1"/>
    </row>
    <row r="438" spans="1:19" ht="14.7" x14ac:dyDescent="0.65">
      <c r="A438" s="34">
        <v>437</v>
      </c>
      <c r="B438" s="3" t="s">
        <v>1374</v>
      </c>
      <c r="C438" s="1" t="s">
        <v>1375</v>
      </c>
      <c r="D438" s="1">
        <v>31</v>
      </c>
      <c r="E438" t="s">
        <v>1376</v>
      </c>
      <c r="F438" s="3">
        <v>1</v>
      </c>
      <c r="G438" s="33">
        <v>32874</v>
      </c>
      <c r="H438" s="33">
        <v>32874</v>
      </c>
      <c r="I438" s="1"/>
      <c r="J438" s="1"/>
      <c r="K438" s="1"/>
      <c r="L438" s="1"/>
      <c r="M438" s="1"/>
      <c r="P438" s="3"/>
      <c r="R438" s="1"/>
      <c r="S438" s="1"/>
    </row>
    <row r="439" spans="1:19" ht="14.7" x14ac:dyDescent="0.65">
      <c r="A439" s="34">
        <v>438</v>
      </c>
      <c r="B439" s="3" t="s">
        <v>1377</v>
      </c>
      <c r="C439" s="1" t="s">
        <v>1378</v>
      </c>
      <c r="D439" s="1">
        <v>31</v>
      </c>
      <c r="E439" t="s">
        <v>1379</v>
      </c>
      <c r="F439" s="3">
        <v>1</v>
      </c>
      <c r="G439" s="33">
        <v>32874</v>
      </c>
      <c r="H439" s="33">
        <v>32874</v>
      </c>
      <c r="I439" s="1"/>
      <c r="J439" s="1"/>
      <c r="K439" s="1"/>
      <c r="L439" s="1"/>
      <c r="M439" s="1"/>
      <c r="P439" s="3"/>
      <c r="R439" s="1"/>
      <c r="S439" s="1"/>
    </row>
    <row r="440" spans="1:19" ht="14.7" x14ac:dyDescent="0.65">
      <c r="A440" s="34">
        <v>439</v>
      </c>
      <c r="B440" s="3" t="s">
        <v>1380</v>
      </c>
      <c r="C440" s="1" t="s">
        <v>1381</v>
      </c>
      <c r="D440" s="1">
        <v>31</v>
      </c>
      <c r="E440" t="s">
        <v>1382</v>
      </c>
      <c r="F440" s="3">
        <v>1</v>
      </c>
      <c r="G440" s="33">
        <v>32874</v>
      </c>
      <c r="H440" s="33">
        <v>32874</v>
      </c>
      <c r="I440" s="1"/>
      <c r="J440" s="1"/>
      <c r="K440" s="1"/>
      <c r="L440" s="1"/>
      <c r="M440" s="1"/>
      <c r="P440" s="3"/>
      <c r="R440" s="1"/>
      <c r="S440" s="1"/>
    </row>
    <row r="441" spans="1:19" ht="14.7" x14ac:dyDescent="0.65">
      <c r="A441" s="34">
        <v>440</v>
      </c>
      <c r="B441" s="3" t="s">
        <v>1383</v>
      </c>
      <c r="C441" s="1" t="s">
        <v>1384</v>
      </c>
      <c r="D441" s="1">
        <v>31</v>
      </c>
      <c r="E441" t="s">
        <v>1385</v>
      </c>
      <c r="F441" s="3">
        <v>1</v>
      </c>
      <c r="G441" s="33">
        <v>32874</v>
      </c>
      <c r="H441" s="33">
        <v>32874</v>
      </c>
      <c r="I441" s="1"/>
      <c r="J441" s="1"/>
      <c r="K441" s="1"/>
      <c r="L441" s="1"/>
      <c r="M441" s="1"/>
      <c r="P441" s="3"/>
      <c r="R441" s="1"/>
      <c r="S441" s="1"/>
    </row>
    <row r="442" spans="1:19" ht="14.7" x14ac:dyDescent="0.65">
      <c r="A442" s="34">
        <v>441</v>
      </c>
      <c r="B442" s="3" t="s">
        <v>1386</v>
      </c>
      <c r="C442" s="1" t="s">
        <v>1387</v>
      </c>
      <c r="D442" s="1">
        <v>31</v>
      </c>
      <c r="E442" t="s">
        <v>1388</v>
      </c>
      <c r="F442" s="3">
        <v>1</v>
      </c>
      <c r="G442" s="33">
        <v>32874</v>
      </c>
      <c r="H442" s="33">
        <v>32874</v>
      </c>
      <c r="I442" s="1"/>
      <c r="J442" s="1"/>
      <c r="K442" s="1"/>
      <c r="L442" s="1"/>
      <c r="M442" s="1"/>
      <c r="P442" s="3"/>
      <c r="R442" s="1"/>
      <c r="S442" s="1"/>
    </row>
    <row r="443" spans="1:19" ht="14.7" x14ac:dyDescent="0.65">
      <c r="A443" s="34">
        <v>442</v>
      </c>
      <c r="B443" s="3" t="s">
        <v>1389</v>
      </c>
      <c r="C443" s="1" t="s">
        <v>1390</v>
      </c>
      <c r="D443" s="1">
        <v>31</v>
      </c>
      <c r="E443" t="s">
        <v>1391</v>
      </c>
      <c r="F443" s="3">
        <v>1</v>
      </c>
      <c r="G443" s="33">
        <v>32874</v>
      </c>
      <c r="H443" s="33">
        <v>32874</v>
      </c>
      <c r="I443" s="1"/>
      <c r="J443" s="1"/>
      <c r="K443" s="1"/>
      <c r="L443" s="1"/>
      <c r="M443" s="1"/>
      <c r="P443" s="3"/>
      <c r="R443" s="1"/>
      <c r="S443" s="1"/>
    </row>
    <row r="444" spans="1:19" ht="14.7" x14ac:dyDescent="0.65">
      <c r="A444" s="34">
        <v>443</v>
      </c>
      <c r="B444" s="3" t="s">
        <v>1392</v>
      </c>
      <c r="C444" s="1" t="s">
        <v>1393</v>
      </c>
      <c r="D444" s="1">
        <v>31</v>
      </c>
      <c r="E444" t="s">
        <v>1394</v>
      </c>
      <c r="F444" s="3">
        <v>1</v>
      </c>
      <c r="G444" s="33">
        <v>32874</v>
      </c>
      <c r="H444" s="33">
        <v>32874</v>
      </c>
      <c r="I444" s="1"/>
      <c r="J444" s="1"/>
      <c r="K444" s="1"/>
      <c r="L444" s="1"/>
      <c r="M444" s="1"/>
      <c r="P444" s="3"/>
      <c r="R444" s="1"/>
      <c r="S444" s="1"/>
    </row>
    <row r="445" spans="1:19" ht="14.7" x14ac:dyDescent="0.65">
      <c r="A445" s="34">
        <v>444</v>
      </c>
      <c r="B445" s="3" t="s">
        <v>1395</v>
      </c>
      <c r="C445" s="1" t="s">
        <v>1396</v>
      </c>
      <c r="D445" s="1">
        <v>31</v>
      </c>
      <c r="E445" t="s">
        <v>1397</v>
      </c>
      <c r="F445" s="3">
        <v>1</v>
      </c>
      <c r="G445" s="33">
        <v>32874</v>
      </c>
      <c r="H445" s="33">
        <v>32874</v>
      </c>
      <c r="I445" s="1"/>
      <c r="J445" s="1"/>
      <c r="K445" s="1"/>
      <c r="L445" s="1"/>
      <c r="M445" s="1"/>
      <c r="P445" s="3"/>
      <c r="R445" s="1"/>
      <c r="S445" s="1"/>
    </row>
    <row r="446" spans="1:19" ht="14.7" x14ac:dyDescent="0.65">
      <c r="A446" s="34">
        <v>445</v>
      </c>
      <c r="B446" s="3" t="s">
        <v>1398</v>
      </c>
      <c r="C446" s="1" t="s">
        <v>1399</v>
      </c>
      <c r="D446" s="1">
        <v>31</v>
      </c>
      <c r="E446" t="s">
        <v>1400</v>
      </c>
      <c r="F446" s="3">
        <v>1</v>
      </c>
      <c r="G446" s="33">
        <v>32874</v>
      </c>
      <c r="H446" s="33">
        <v>32874</v>
      </c>
      <c r="I446" s="1"/>
      <c r="J446" s="1"/>
      <c r="K446" s="1"/>
      <c r="L446" s="1"/>
      <c r="M446" s="1"/>
      <c r="P446" s="3"/>
      <c r="R446" s="1"/>
      <c r="S446" s="1"/>
    </row>
    <row r="447" spans="1:19" ht="14.7" x14ac:dyDescent="0.65">
      <c r="A447" s="34">
        <v>446</v>
      </c>
      <c r="B447" s="3" t="s">
        <v>1401</v>
      </c>
      <c r="C447" s="1" t="s">
        <v>1402</v>
      </c>
      <c r="D447" s="1">
        <v>31</v>
      </c>
      <c r="E447" t="s">
        <v>1403</v>
      </c>
      <c r="F447" s="3">
        <v>1</v>
      </c>
      <c r="G447" s="33">
        <v>32874</v>
      </c>
      <c r="H447" s="33">
        <v>32874</v>
      </c>
      <c r="I447" s="1"/>
      <c r="J447" s="1"/>
      <c r="K447" s="1"/>
      <c r="L447" s="1"/>
      <c r="M447" s="1"/>
      <c r="P447" s="3"/>
      <c r="R447" s="1"/>
      <c r="S447" s="1"/>
    </row>
    <row r="448" spans="1:19" ht="14.7" x14ac:dyDescent="0.65">
      <c r="A448" s="34">
        <v>447</v>
      </c>
      <c r="B448" s="3" t="s">
        <v>1404</v>
      </c>
      <c r="C448" s="1" t="s">
        <v>1405</v>
      </c>
      <c r="D448" s="1">
        <v>31</v>
      </c>
      <c r="E448" t="s">
        <v>1406</v>
      </c>
      <c r="F448" s="3">
        <v>1</v>
      </c>
      <c r="G448" s="33">
        <v>32874</v>
      </c>
      <c r="H448" s="33">
        <v>32874</v>
      </c>
      <c r="I448" s="1"/>
      <c r="J448" s="1"/>
      <c r="K448" s="1"/>
      <c r="L448" s="1"/>
      <c r="M448" s="1"/>
      <c r="P448" s="3"/>
      <c r="R448" s="1"/>
      <c r="S448" s="1"/>
    </row>
    <row r="449" spans="1:19" ht="14.7" x14ac:dyDescent="0.65">
      <c r="A449" s="34">
        <v>448</v>
      </c>
      <c r="B449" s="3" t="s">
        <v>1407</v>
      </c>
      <c r="C449" s="1" t="s">
        <v>1408</v>
      </c>
      <c r="D449" s="1">
        <v>31</v>
      </c>
      <c r="E449" t="s">
        <v>1409</v>
      </c>
      <c r="F449" s="3">
        <v>1</v>
      </c>
      <c r="G449" s="33">
        <v>32874</v>
      </c>
      <c r="H449" s="33">
        <v>32874</v>
      </c>
      <c r="I449" s="1"/>
      <c r="J449" s="1"/>
      <c r="K449" s="1"/>
      <c r="L449" s="1"/>
      <c r="M449" s="1"/>
      <c r="P449" s="3"/>
      <c r="R449" s="1"/>
      <c r="S449" s="1"/>
    </row>
    <row r="450" spans="1:19" ht="14.7" x14ac:dyDescent="0.65">
      <c r="A450" s="34">
        <v>449</v>
      </c>
      <c r="B450" s="3" t="s">
        <v>1410</v>
      </c>
      <c r="C450" s="1" t="s">
        <v>1411</v>
      </c>
      <c r="D450" s="1">
        <v>31</v>
      </c>
      <c r="E450" t="s">
        <v>1412</v>
      </c>
      <c r="F450" s="3">
        <v>1</v>
      </c>
      <c r="G450" s="33">
        <v>32874</v>
      </c>
      <c r="H450" s="33">
        <v>32874</v>
      </c>
      <c r="I450" s="1"/>
      <c r="J450" s="1"/>
      <c r="K450" s="1"/>
      <c r="L450" s="1"/>
      <c r="M450" s="1"/>
      <c r="P450" s="3"/>
      <c r="R450" s="1"/>
      <c r="S450" s="1"/>
    </row>
    <row r="451" spans="1:19" ht="14.7" x14ac:dyDescent="0.65">
      <c r="A451" s="34">
        <v>450</v>
      </c>
      <c r="B451" s="3" t="s">
        <v>1413</v>
      </c>
      <c r="C451" s="1" t="s">
        <v>1414</v>
      </c>
      <c r="D451" s="1">
        <v>31</v>
      </c>
      <c r="E451" t="s">
        <v>1415</v>
      </c>
      <c r="F451" s="3">
        <v>1</v>
      </c>
      <c r="G451" s="33">
        <v>32874</v>
      </c>
      <c r="H451" s="33">
        <v>32874</v>
      </c>
      <c r="I451" s="1"/>
      <c r="J451" s="1"/>
      <c r="K451" s="1"/>
      <c r="L451" s="1"/>
      <c r="M451" s="1"/>
      <c r="P451" s="3"/>
      <c r="R451" s="1"/>
      <c r="S451" s="1"/>
    </row>
    <row r="452" spans="1:19" ht="14.7" x14ac:dyDescent="0.65">
      <c r="A452" s="34">
        <v>451</v>
      </c>
      <c r="B452" s="3" t="s">
        <v>1416</v>
      </c>
      <c r="C452" s="1" t="s">
        <v>1417</v>
      </c>
      <c r="D452" s="1">
        <v>31</v>
      </c>
      <c r="E452" t="s">
        <v>1418</v>
      </c>
      <c r="F452" s="3">
        <v>1</v>
      </c>
      <c r="G452" s="33">
        <v>32874</v>
      </c>
      <c r="H452" s="33">
        <v>32874</v>
      </c>
      <c r="I452" s="1"/>
      <c r="J452" s="1"/>
      <c r="K452" s="1"/>
      <c r="L452" s="1"/>
      <c r="M452" s="1"/>
      <c r="P452" s="3"/>
      <c r="R452" s="1"/>
      <c r="S452" s="1"/>
    </row>
    <row r="453" spans="1:19" ht="14.7" x14ac:dyDescent="0.65">
      <c r="A453" s="34">
        <v>452</v>
      </c>
      <c r="B453" s="3" t="s">
        <v>1419</v>
      </c>
      <c r="C453" s="1" t="s">
        <v>1420</v>
      </c>
      <c r="D453" s="1">
        <v>31</v>
      </c>
      <c r="E453" t="s">
        <v>1421</v>
      </c>
      <c r="F453" s="3">
        <v>1</v>
      </c>
      <c r="G453" s="33">
        <v>32874</v>
      </c>
      <c r="H453" s="33">
        <v>32874</v>
      </c>
      <c r="I453" s="1"/>
      <c r="J453" s="1"/>
      <c r="K453" s="1"/>
      <c r="L453" s="1"/>
      <c r="M453" s="1"/>
      <c r="P453" s="3"/>
      <c r="R453" s="1"/>
      <c r="S453" s="1"/>
    </row>
    <row r="454" spans="1:19" ht="14.7" x14ac:dyDescent="0.65">
      <c r="A454" s="34">
        <v>453</v>
      </c>
      <c r="B454" s="3" t="s">
        <v>1422</v>
      </c>
      <c r="C454" s="1" t="s">
        <v>1423</v>
      </c>
      <c r="D454" s="1">
        <v>31</v>
      </c>
      <c r="E454" t="s">
        <v>1424</v>
      </c>
      <c r="F454" s="3">
        <v>1</v>
      </c>
      <c r="G454" s="33">
        <v>32874</v>
      </c>
      <c r="H454" s="33">
        <v>32874</v>
      </c>
      <c r="I454" s="1"/>
      <c r="J454" s="1"/>
      <c r="K454" s="1"/>
      <c r="L454" s="1"/>
      <c r="M454" s="1"/>
      <c r="P454" s="3"/>
      <c r="R454" s="1"/>
      <c r="S454" s="1"/>
    </row>
    <row r="455" spans="1:19" ht="14.7" x14ac:dyDescent="0.65">
      <c r="A455" s="34">
        <v>454</v>
      </c>
      <c r="B455" s="3" t="s">
        <v>1425</v>
      </c>
      <c r="C455" s="1" t="s">
        <v>1426</v>
      </c>
      <c r="D455" s="1">
        <v>31</v>
      </c>
      <c r="E455" t="s">
        <v>1427</v>
      </c>
      <c r="F455" s="3">
        <v>1</v>
      </c>
      <c r="G455" s="33">
        <v>32874</v>
      </c>
      <c r="H455" s="33">
        <v>32874</v>
      </c>
      <c r="I455" s="1"/>
      <c r="J455" s="1"/>
      <c r="K455" s="1"/>
      <c r="L455" s="1"/>
      <c r="M455" s="1"/>
      <c r="P455" s="3"/>
      <c r="R455" s="1"/>
      <c r="S455" s="1"/>
    </row>
    <row r="456" spans="1:19" ht="14.7" x14ac:dyDescent="0.65">
      <c r="A456" s="34">
        <v>455</v>
      </c>
      <c r="B456" s="3" t="s">
        <v>1428</v>
      </c>
      <c r="C456" s="1" t="s">
        <v>1429</v>
      </c>
      <c r="D456" s="1">
        <v>31</v>
      </c>
      <c r="E456" t="s">
        <v>1430</v>
      </c>
      <c r="F456" s="3">
        <v>1</v>
      </c>
      <c r="G456" s="33">
        <v>32874</v>
      </c>
      <c r="H456" s="33">
        <v>32874</v>
      </c>
      <c r="I456" s="1"/>
      <c r="J456" s="1"/>
      <c r="K456" s="1"/>
      <c r="L456" s="1"/>
      <c r="M456" s="1"/>
      <c r="P456" s="3"/>
      <c r="R456" s="1"/>
      <c r="S456" s="1"/>
    </row>
    <row r="457" spans="1:19" ht="14.7" x14ac:dyDescent="0.65">
      <c r="A457" s="34">
        <v>456</v>
      </c>
      <c r="B457" s="3" t="s">
        <v>1431</v>
      </c>
      <c r="C457" s="1" t="s">
        <v>1432</v>
      </c>
      <c r="D457" s="1">
        <v>31</v>
      </c>
      <c r="E457" t="s">
        <v>1433</v>
      </c>
      <c r="F457" s="3">
        <v>1</v>
      </c>
      <c r="G457" s="33">
        <v>32874</v>
      </c>
      <c r="H457" s="33">
        <v>32874</v>
      </c>
      <c r="I457" s="1"/>
      <c r="J457" s="1"/>
      <c r="K457" s="1"/>
      <c r="L457" s="1"/>
      <c r="M457" s="1"/>
      <c r="P457" s="3"/>
      <c r="R457" s="1"/>
      <c r="S457" s="1"/>
    </row>
    <row r="458" spans="1:19" ht="14.7" x14ac:dyDescent="0.65">
      <c r="A458" s="34">
        <v>457</v>
      </c>
      <c r="B458" s="3" t="s">
        <v>1434</v>
      </c>
      <c r="C458" s="1" t="s">
        <v>1435</v>
      </c>
      <c r="D458" s="1">
        <v>31</v>
      </c>
      <c r="E458" t="s">
        <v>1436</v>
      </c>
      <c r="F458" s="3">
        <v>1</v>
      </c>
      <c r="G458" s="33">
        <v>32874</v>
      </c>
      <c r="H458" s="33">
        <v>32874</v>
      </c>
      <c r="I458" s="1"/>
      <c r="J458" s="1"/>
      <c r="K458" s="1"/>
      <c r="L458" s="1"/>
      <c r="M458" s="1"/>
      <c r="P458" s="3"/>
      <c r="R458" s="1"/>
      <c r="S458" s="1"/>
    </row>
    <row r="459" spans="1:19" ht="14.7" x14ac:dyDescent="0.65">
      <c r="A459" s="34">
        <v>458</v>
      </c>
      <c r="B459" s="3" t="s">
        <v>1437</v>
      </c>
      <c r="C459" s="1" t="s">
        <v>1438</v>
      </c>
      <c r="D459" s="1">
        <v>31</v>
      </c>
      <c r="E459" t="s">
        <v>1439</v>
      </c>
      <c r="F459" s="3">
        <v>1</v>
      </c>
      <c r="G459" s="33">
        <v>32874</v>
      </c>
      <c r="H459" s="33">
        <v>32874</v>
      </c>
      <c r="I459" s="1"/>
      <c r="J459" s="1"/>
      <c r="K459" s="1"/>
      <c r="L459" s="1"/>
      <c r="M459" s="1"/>
      <c r="P459" s="3"/>
      <c r="R459" s="1"/>
      <c r="S459" s="1"/>
    </row>
    <row r="460" spans="1:19" ht="14.7" x14ac:dyDescent="0.65">
      <c r="A460" s="34">
        <v>459</v>
      </c>
      <c r="B460" s="3" t="s">
        <v>1440</v>
      </c>
      <c r="C460" s="1" t="s">
        <v>1441</v>
      </c>
      <c r="D460" s="1">
        <v>31</v>
      </c>
      <c r="E460" t="s">
        <v>1442</v>
      </c>
      <c r="F460" s="3">
        <v>1</v>
      </c>
      <c r="G460" s="33">
        <v>32874</v>
      </c>
      <c r="H460" s="33">
        <v>32874</v>
      </c>
      <c r="I460" s="1"/>
      <c r="J460" s="1"/>
      <c r="K460" s="1"/>
      <c r="L460" s="1"/>
      <c r="M460" s="1"/>
      <c r="P460" s="3"/>
      <c r="R460" s="1"/>
      <c r="S460" s="1"/>
    </row>
    <row r="461" spans="1:19" ht="14.7" x14ac:dyDescent="0.65">
      <c r="A461" s="34">
        <v>460</v>
      </c>
      <c r="B461" s="3" t="s">
        <v>1443</v>
      </c>
      <c r="C461" s="1" t="s">
        <v>1444</v>
      </c>
      <c r="D461" s="1">
        <v>31</v>
      </c>
      <c r="E461" t="s">
        <v>1445</v>
      </c>
      <c r="F461" s="3">
        <v>1</v>
      </c>
      <c r="G461" s="33">
        <v>32874</v>
      </c>
      <c r="H461" s="33">
        <v>32874</v>
      </c>
      <c r="I461" s="1"/>
      <c r="J461" s="1"/>
      <c r="K461" s="1"/>
      <c r="L461" s="1"/>
      <c r="M461" s="1"/>
      <c r="P461" s="3"/>
      <c r="R461" s="1"/>
      <c r="S461" s="1"/>
    </row>
    <row r="462" spans="1:19" ht="14.7" x14ac:dyDescent="0.65">
      <c r="A462" s="34">
        <v>461</v>
      </c>
      <c r="B462" s="3" t="s">
        <v>1446</v>
      </c>
      <c r="C462" s="1" t="s">
        <v>1447</v>
      </c>
      <c r="D462" s="1">
        <v>31</v>
      </c>
      <c r="E462" t="s">
        <v>1448</v>
      </c>
      <c r="F462" s="3">
        <v>1</v>
      </c>
      <c r="G462" s="33">
        <v>32874</v>
      </c>
      <c r="H462" s="33">
        <v>32874</v>
      </c>
      <c r="I462" s="1"/>
      <c r="J462" s="1"/>
      <c r="K462" s="1"/>
      <c r="L462" s="1"/>
      <c r="M462" s="1"/>
      <c r="P462" s="3"/>
      <c r="R462" s="1"/>
      <c r="S462" s="1"/>
    </row>
    <row r="463" spans="1:19" ht="14.7" x14ac:dyDescent="0.65">
      <c r="A463" s="34">
        <v>462</v>
      </c>
      <c r="B463" s="3" t="s">
        <v>1449</v>
      </c>
      <c r="C463" s="1" t="s">
        <v>1450</v>
      </c>
      <c r="D463" s="1">
        <v>31</v>
      </c>
      <c r="E463" t="s">
        <v>1451</v>
      </c>
      <c r="F463" s="3">
        <v>1</v>
      </c>
      <c r="G463" s="33">
        <v>32874</v>
      </c>
      <c r="H463" s="33">
        <v>32874</v>
      </c>
      <c r="I463" s="1"/>
      <c r="J463" s="1"/>
      <c r="K463" s="1"/>
      <c r="L463" s="1"/>
      <c r="M463" s="1"/>
      <c r="P463" s="3"/>
      <c r="R463" s="1"/>
      <c r="S463" s="1"/>
    </row>
    <row r="464" spans="1:19" ht="14.7" x14ac:dyDescent="0.65">
      <c r="A464" s="34">
        <v>463</v>
      </c>
      <c r="B464" s="3" t="s">
        <v>1452</v>
      </c>
      <c r="C464" s="1" t="s">
        <v>1453</v>
      </c>
      <c r="D464" s="1">
        <v>31</v>
      </c>
      <c r="E464" t="s">
        <v>1454</v>
      </c>
      <c r="F464" s="3">
        <v>1</v>
      </c>
      <c r="G464" s="33">
        <v>32874</v>
      </c>
      <c r="H464" s="33">
        <v>32874</v>
      </c>
      <c r="I464" s="1"/>
      <c r="J464" s="1"/>
      <c r="K464" s="1"/>
      <c r="L464" s="1"/>
      <c r="M464" s="1"/>
      <c r="P464" s="3"/>
      <c r="R464" s="1"/>
      <c r="S464" s="1"/>
    </row>
    <row r="465" spans="1:19" ht="14.7" x14ac:dyDescent="0.65">
      <c r="A465" s="34">
        <v>464</v>
      </c>
      <c r="B465" s="3" t="s">
        <v>1455</v>
      </c>
      <c r="C465" s="1" t="s">
        <v>1456</v>
      </c>
      <c r="D465" s="1">
        <v>31</v>
      </c>
      <c r="E465" t="s">
        <v>1457</v>
      </c>
      <c r="F465" s="3">
        <v>1</v>
      </c>
      <c r="G465" s="33">
        <v>32874</v>
      </c>
      <c r="H465" s="33">
        <v>32874</v>
      </c>
      <c r="I465" s="1"/>
      <c r="J465" s="1"/>
      <c r="K465" s="1"/>
      <c r="L465" s="1"/>
      <c r="M465" s="1"/>
      <c r="P465" s="3"/>
      <c r="R465" s="1"/>
      <c r="S465" s="1"/>
    </row>
    <row r="466" spans="1:19" ht="14.7" x14ac:dyDescent="0.65">
      <c r="A466" s="34">
        <v>465</v>
      </c>
      <c r="B466" s="3" t="s">
        <v>1458</v>
      </c>
      <c r="C466" s="1" t="s">
        <v>1459</v>
      </c>
      <c r="D466" s="1">
        <v>31</v>
      </c>
      <c r="E466" t="s">
        <v>1460</v>
      </c>
      <c r="F466" s="3">
        <v>1</v>
      </c>
      <c r="G466" s="33">
        <v>32874</v>
      </c>
      <c r="H466" s="33">
        <v>32874</v>
      </c>
      <c r="I466" s="1"/>
      <c r="J466" s="1"/>
      <c r="K466" s="1"/>
      <c r="L466" s="1"/>
      <c r="M466" s="1"/>
      <c r="P466" s="3"/>
      <c r="R466" s="1"/>
      <c r="S466" s="1"/>
    </row>
    <row r="467" spans="1:19" ht="14.7" x14ac:dyDescent="0.65">
      <c r="A467" s="34">
        <v>466</v>
      </c>
      <c r="B467" s="3" t="s">
        <v>1461</v>
      </c>
      <c r="C467" s="1" t="s">
        <v>1462</v>
      </c>
      <c r="D467" s="1">
        <v>31</v>
      </c>
      <c r="E467" t="s">
        <v>1463</v>
      </c>
      <c r="F467" s="3">
        <v>1</v>
      </c>
      <c r="G467" s="33">
        <v>32874</v>
      </c>
      <c r="H467" s="33">
        <v>32874</v>
      </c>
      <c r="I467" s="1"/>
      <c r="J467" s="1"/>
      <c r="K467" s="1"/>
      <c r="L467" s="1"/>
      <c r="M467" s="1"/>
      <c r="P467" s="3"/>
      <c r="R467" s="1"/>
      <c r="S467" s="1"/>
    </row>
    <row r="468" spans="1:19" ht="14.7" x14ac:dyDescent="0.65">
      <c r="A468" s="34">
        <v>467</v>
      </c>
      <c r="B468" s="3" t="s">
        <v>1464</v>
      </c>
      <c r="C468" s="1" t="s">
        <v>1465</v>
      </c>
      <c r="D468" s="1">
        <v>32</v>
      </c>
      <c r="E468" t="s">
        <v>1466</v>
      </c>
      <c r="F468" s="3">
        <v>1</v>
      </c>
      <c r="G468" s="33">
        <v>32874</v>
      </c>
      <c r="H468" s="33">
        <v>32874</v>
      </c>
      <c r="I468" s="1"/>
      <c r="J468" s="1"/>
      <c r="K468" s="1"/>
      <c r="L468" s="1"/>
      <c r="M468" s="1"/>
      <c r="P468" s="3"/>
      <c r="R468" s="1"/>
      <c r="S468" s="1"/>
    </row>
    <row r="469" spans="1:19" ht="14.7" x14ac:dyDescent="0.65">
      <c r="A469" s="34">
        <v>468</v>
      </c>
      <c r="B469" s="3" t="s">
        <v>1467</v>
      </c>
      <c r="C469" s="1" t="s">
        <v>1468</v>
      </c>
      <c r="D469" s="1">
        <v>32</v>
      </c>
      <c r="E469" t="s">
        <v>1469</v>
      </c>
      <c r="F469" s="3">
        <v>1</v>
      </c>
      <c r="G469" s="33">
        <v>32874</v>
      </c>
      <c r="H469" s="33">
        <v>32874</v>
      </c>
      <c r="I469" s="1"/>
      <c r="J469" s="1"/>
      <c r="K469" s="1"/>
      <c r="L469" s="1"/>
      <c r="M469" s="1"/>
      <c r="P469" s="3"/>
      <c r="R469" s="1"/>
      <c r="S469" s="1"/>
    </row>
    <row r="470" spans="1:19" ht="14.7" x14ac:dyDescent="0.65">
      <c r="A470" s="34">
        <v>469</v>
      </c>
      <c r="B470" s="3" t="s">
        <v>1470</v>
      </c>
      <c r="C470" s="1" t="s">
        <v>1471</v>
      </c>
      <c r="D470" s="1">
        <v>32</v>
      </c>
      <c r="E470" t="s">
        <v>1472</v>
      </c>
      <c r="F470" s="3">
        <v>1</v>
      </c>
      <c r="G470" s="33">
        <v>32874</v>
      </c>
      <c r="H470" s="33">
        <v>32874</v>
      </c>
      <c r="I470" s="1"/>
      <c r="J470" s="1"/>
      <c r="K470" s="1"/>
      <c r="L470" s="1"/>
      <c r="M470" s="1"/>
      <c r="P470" s="3"/>
      <c r="R470" s="1"/>
      <c r="S470" s="1"/>
    </row>
    <row r="471" spans="1:19" ht="14.7" x14ac:dyDescent="0.65">
      <c r="A471" s="34">
        <v>470</v>
      </c>
      <c r="B471" s="3" t="s">
        <v>1473</v>
      </c>
      <c r="C471" s="1" t="s">
        <v>1474</v>
      </c>
      <c r="D471" s="1">
        <v>32</v>
      </c>
      <c r="E471" t="s">
        <v>1475</v>
      </c>
      <c r="F471" s="3">
        <v>1</v>
      </c>
      <c r="G471" s="33">
        <v>32874</v>
      </c>
      <c r="H471" s="33">
        <v>32874</v>
      </c>
      <c r="I471" s="1"/>
      <c r="J471" s="1"/>
      <c r="K471" s="1"/>
      <c r="L471" s="1"/>
      <c r="M471" s="1"/>
      <c r="P471" s="3"/>
      <c r="R471" s="1"/>
      <c r="S471" s="1"/>
    </row>
    <row r="472" spans="1:19" ht="14.7" x14ac:dyDescent="0.65">
      <c r="A472" s="34">
        <v>471</v>
      </c>
      <c r="B472" s="3" t="s">
        <v>1476</v>
      </c>
      <c r="C472" s="1" t="s">
        <v>1477</v>
      </c>
      <c r="D472" s="1">
        <v>32</v>
      </c>
      <c r="E472" t="s">
        <v>1478</v>
      </c>
      <c r="F472" s="3">
        <v>1</v>
      </c>
      <c r="G472" s="33">
        <v>32874</v>
      </c>
      <c r="H472" s="33">
        <v>32874</v>
      </c>
      <c r="I472" s="1"/>
      <c r="J472" s="1"/>
      <c r="K472" s="1"/>
      <c r="L472" s="1"/>
      <c r="M472" s="1"/>
      <c r="P472" s="3"/>
      <c r="R472" s="1"/>
      <c r="S472" s="1"/>
    </row>
    <row r="473" spans="1:19" ht="14.7" x14ac:dyDescent="0.65">
      <c r="A473" s="34">
        <v>472</v>
      </c>
      <c r="B473" s="3" t="s">
        <v>1479</v>
      </c>
      <c r="C473" s="1" t="s">
        <v>1480</v>
      </c>
      <c r="D473" s="1">
        <v>32</v>
      </c>
      <c r="E473" t="s">
        <v>1481</v>
      </c>
      <c r="F473" s="3">
        <v>1</v>
      </c>
      <c r="G473" s="33">
        <v>32874</v>
      </c>
      <c r="H473" s="33">
        <v>32874</v>
      </c>
      <c r="I473" s="1"/>
      <c r="J473" s="1"/>
      <c r="K473" s="1"/>
      <c r="L473" s="1"/>
      <c r="M473" s="1"/>
      <c r="P473" s="3"/>
      <c r="R473" s="1"/>
      <c r="S473" s="1"/>
    </row>
    <row r="474" spans="1:19" ht="14.7" x14ac:dyDescent="0.65">
      <c r="A474" s="34">
        <v>473</v>
      </c>
      <c r="B474" s="3" t="s">
        <v>1482</v>
      </c>
      <c r="C474" s="1" t="s">
        <v>1483</v>
      </c>
      <c r="D474" s="1">
        <v>32</v>
      </c>
      <c r="E474" t="s">
        <v>1484</v>
      </c>
      <c r="F474" s="3">
        <v>1</v>
      </c>
      <c r="G474" s="33">
        <v>32874</v>
      </c>
      <c r="H474" s="33">
        <v>32874</v>
      </c>
      <c r="I474" s="1"/>
      <c r="J474" s="1"/>
      <c r="K474" s="1"/>
      <c r="L474" s="1"/>
      <c r="M474" s="1"/>
      <c r="P474" s="3"/>
      <c r="R474" s="1"/>
      <c r="S474" s="1"/>
    </row>
    <row r="475" spans="1:19" ht="14.7" x14ac:dyDescent="0.65">
      <c r="A475" s="34">
        <v>474</v>
      </c>
      <c r="B475" s="3" t="s">
        <v>1485</v>
      </c>
      <c r="C475" s="1" t="s">
        <v>1486</v>
      </c>
      <c r="D475" s="1">
        <v>32</v>
      </c>
      <c r="E475" t="s">
        <v>1487</v>
      </c>
      <c r="F475" s="3">
        <v>1</v>
      </c>
      <c r="G475" s="33">
        <v>32874</v>
      </c>
      <c r="H475" s="33">
        <v>32874</v>
      </c>
      <c r="I475" s="1"/>
      <c r="J475" s="1"/>
      <c r="K475" s="1"/>
      <c r="L475" s="1"/>
      <c r="M475" s="1"/>
      <c r="P475" s="3"/>
      <c r="R475" s="1"/>
      <c r="S475" s="1"/>
    </row>
    <row r="476" spans="1:19" ht="14.7" x14ac:dyDescent="0.65">
      <c r="A476" s="34">
        <v>475</v>
      </c>
      <c r="B476" s="3" t="s">
        <v>1488</v>
      </c>
      <c r="C476" s="1" t="s">
        <v>1489</v>
      </c>
      <c r="D476" s="1">
        <v>32</v>
      </c>
      <c r="E476" t="s">
        <v>1490</v>
      </c>
      <c r="F476" s="3">
        <v>1</v>
      </c>
      <c r="G476" s="33">
        <v>32874</v>
      </c>
      <c r="H476" s="33">
        <v>32874</v>
      </c>
      <c r="I476" s="1"/>
      <c r="J476" s="1"/>
      <c r="K476" s="1"/>
      <c r="L476" s="1"/>
      <c r="M476" s="1"/>
      <c r="P476" s="3"/>
      <c r="R476" s="1"/>
      <c r="S476" s="1"/>
    </row>
    <row r="477" spans="1:19" ht="14.7" x14ac:dyDescent="0.65">
      <c r="A477" s="34">
        <v>476</v>
      </c>
      <c r="B477" s="3" t="s">
        <v>1491</v>
      </c>
      <c r="C477" s="1" t="s">
        <v>1492</v>
      </c>
      <c r="D477" s="1">
        <v>32</v>
      </c>
      <c r="E477" t="s">
        <v>1493</v>
      </c>
      <c r="F477" s="3">
        <v>1</v>
      </c>
      <c r="G477" s="33">
        <v>32874</v>
      </c>
      <c r="H477" s="33">
        <v>32874</v>
      </c>
      <c r="I477" s="1"/>
      <c r="J477" s="1"/>
      <c r="K477" s="1"/>
      <c r="L477" s="1"/>
      <c r="M477" s="1"/>
      <c r="P477" s="3"/>
      <c r="R477" s="1"/>
      <c r="S477" s="1"/>
    </row>
    <row r="478" spans="1:19" ht="14.7" x14ac:dyDescent="0.65">
      <c r="A478" s="34">
        <v>477</v>
      </c>
      <c r="B478" s="3" t="s">
        <v>1494</v>
      </c>
      <c r="C478" s="1" t="s">
        <v>1495</v>
      </c>
      <c r="D478" s="1">
        <v>32</v>
      </c>
      <c r="E478" t="s">
        <v>1496</v>
      </c>
      <c r="F478" s="3">
        <v>1</v>
      </c>
      <c r="G478" s="33">
        <v>32874</v>
      </c>
      <c r="H478" s="33">
        <v>32874</v>
      </c>
      <c r="I478" s="1"/>
      <c r="J478" s="1"/>
      <c r="K478" s="1"/>
      <c r="L478" s="1"/>
      <c r="M478" s="1"/>
      <c r="P478" s="3"/>
      <c r="R478" s="1"/>
      <c r="S478" s="1"/>
    </row>
    <row r="479" spans="1:19" ht="14.7" x14ac:dyDescent="0.65">
      <c r="A479" s="34">
        <v>478</v>
      </c>
      <c r="B479" s="3" t="s">
        <v>1497</v>
      </c>
      <c r="C479" s="1" t="s">
        <v>1498</v>
      </c>
      <c r="D479" s="1">
        <v>32</v>
      </c>
      <c r="E479" t="s">
        <v>1499</v>
      </c>
      <c r="F479" s="3">
        <v>1</v>
      </c>
      <c r="G479" s="33">
        <v>32874</v>
      </c>
      <c r="H479" s="33">
        <v>32874</v>
      </c>
      <c r="I479" s="1"/>
      <c r="J479" s="1"/>
      <c r="K479" s="1"/>
      <c r="L479" s="1"/>
      <c r="M479" s="1"/>
      <c r="P479" s="3"/>
      <c r="R479" s="1"/>
      <c r="S479" s="1"/>
    </row>
    <row r="480" spans="1:19" ht="14.7" x14ac:dyDescent="0.65">
      <c r="A480" s="34">
        <v>479</v>
      </c>
      <c r="B480" s="3" t="s">
        <v>1500</v>
      </c>
      <c r="C480" s="1" t="s">
        <v>1501</v>
      </c>
      <c r="D480" s="1">
        <v>32</v>
      </c>
      <c r="E480" t="s">
        <v>1502</v>
      </c>
      <c r="F480" s="3">
        <v>1</v>
      </c>
      <c r="G480" s="33">
        <v>32874</v>
      </c>
      <c r="H480" s="33">
        <v>32874</v>
      </c>
      <c r="I480" s="1"/>
      <c r="J480" s="1"/>
      <c r="K480" s="1"/>
      <c r="L480" s="1"/>
      <c r="M480" s="1"/>
      <c r="P480" s="3"/>
      <c r="R480" s="1"/>
      <c r="S480" s="1"/>
    </row>
    <row r="481" spans="1:19" ht="14.7" x14ac:dyDescent="0.65">
      <c r="A481" s="34">
        <v>480</v>
      </c>
      <c r="B481" s="3" t="s">
        <v>1503</v>
      </c>
      <c r="C481" s="1" t="s">
        <v>1504</v>
      </c>
      <c r="D481" s="1">
        <v>32</v>
      </c>
      <c r="E481" t="s">
        <v>1505</v>
      </c>
      <c r="F481" s="3">
        <v>1</v>
      </c>
      <c r="G481" s="33">
        <v>32874</v>
      </c>
      <c r="H481" s="33">
        <v>32874</v>
      </c>
      <c r="I481" s="1"/>
      <c r="J481" s="1"/>
      <c r="K481" s="1"/>
      <c r="L481" s="1"/>
      <c r="M481" s="1"/>
      <c r="P481" s="3"/>
      <c r="R481" s="1"/>
      <c r="S481" s="1"/>
    </row>
    <row r="482" spans="1:19" ht="14.7" x14ac:dyDescent="0.65">
      <c r="A482" s="34">
        <v>481</v>
      </c>
      <c r="B482" s="3" t="s">
        <v>1506</v>
      </c>
      <c r="C482" s="1" t="s">
        <v>1507</v>
      </c>
      <c r="D482" s="1">
        <v>32</v>
      </c>
      <c r="E482" t="s">
        <v>1508</v>
      </c>
      <c r="F482" s="3">
        <v>1</v>
      </c>
      <c r="G482" s="33">
        <v>32874</v>
      </c>
      <c r="H482" s="33">
        <v>32874</v>
      </c>
      <c r="I482" s="1"/>
      <c r="J482" s="1"/>
      <c r="K482" s="1"/>
      <c r="L482" s="1"/>
      <c r="M482" s="1"/>
      <c r="P482" s="3"/>
      <c r="R482" s="1"/>
      <c r="S482" s="1"/>
    </row>
    <row r="483" spans="1:19" ht="14.7" x14ac:dyDescent="0.65">
      <c r="A483" s="34">
        <v>482</v>
      </c>
      <c r="B483" s="3" t="s">
        <v>1509</v>
      </c>
      <c r="C483" s="1" t="s">
        <v>1510</v>
      </c>
      <c r="D483" s="1">
        <v>32</v>
      </c>
      <c r="E483" t="s">
        <v>1511</v>
      </c>
      <c r="F483" s="3">
        <v>1</v>
      </c>
      <c r="G483" s="33">
        <v>32874</v>
      </c>
      <c r="H483" s="33">
        <v>32874</v>
      </c>
      <c r="I483" s="1"/>
      <c r="J483" s="1"/>
      <c r="K483" s="1"/>
      <c r="L483" s="1"/>
      <c r="M483" s="1"/>
      <c r="P483" s="3"/>
      <c r="R483" s="1"/>
      <c r="S483" s="1"/>
    </row>
    <row r="484" spans="1:19" ht="14.7" x14ac:dyDescent="0.65">
      <c r="A484" s="34">
        <v>483</v>
      </c>
      <c r="B484" s="3" t="s">
        <v>1512</v>
      </c>
      <c r="C484" s="1" t="s">
        <v>1513</v>
      </c>
      <c r="D484" s="1">
        <v>32</v>
      </c>
      <c r="E484" t="s">
        <v>1514</v>
      </c>
      <c r="F484" s="3">
        <v>1</v>
      </c>
      <c r="G484" s="33">
        <v>32874</v>
      </c>
      <c r="H484" s="33">
        <v>32874</v>
      </c>
      <c r="I484" s="1"/>
      <c r="J484" s="1"/>
      <c r="K484" s="1"/>
      <c r="L484" s="1"/>
      <c r="M484" s="1"/>
      <c r="P484" s="3"/>
      <c r="R484" s="1"/>
      <c r="S484" s="1"/>
    </row>
    <row r="485" spans="1:19" ht="14.7" x14ac:dyDescent="0.65">
      <c r="A485" s="34">
        <v>484</v>
      </c>
      <c r="B485" s="3" t="s">
        <v>1515</v>
      </c>
      <c r="C485" s="1" t="s">
        <v>1516</v>
      </c>
      <c r="D485" s="1">
        <v>32</v>
      </c>
      <c r="E485" t="s">
        <v>1517</v>
      </c>
      <c r="F485" s="3">
        <v>1</v>
      </c>
      <c r="G485" s="33">
        <v>32874</v>
      </c>
      <c r="H485" s="33">
        <v>32874</v>
      </c>
      <c r="I485" s="1"/>
      <c r="J485" s="1"/>
      <c r="K485" s="1"/>
      <c r="L485" s="1"/>
      <c r="M485" s="1"/>
      <c r="P485" s="3"/>
      <c r="R485" s="1"/>
      <c r="S485" s="1"/>
    </row>
    <row r="486" spans="1:19" ht="14.7" x14ac:dyDescent="0.65">
      <c r="A486" s="34">
        <v>485</v>
      </c>
      <c r="B486" s="3" t="s">
        <v>1518</v>
      </c>
      <c r="C486" s="1" t="s">
        <v>1519</v>
      </c>
      <c r="D486" s="1">
        <v>32</v>
      </c>
      <c r="E486" t="s">
        <v>1520</v>
      </c>
      <c r="F486" s="3">
        <v>1</v>
      </c>
      <c r="G486" s="33">
        <v>32874</v>
      </c>
      <c r="H486" s="33">
        <v>32874</v>
      </c>
      <c r="I486" s="1"/>
      <c r="J486" s="1"/>
      <c r="K486" s="1"/>
      <c r="L486" s="1"/>
      <c r="M486" s="1"/>
      <c r="P486" s="3"/>
      <c r="R486" s="1"/>
      <c r="S486" s="1"/>
    </row>
    <row r="487" spans="1:19" ht="14.7" x14ac:dyDescent="0.65">
      <c r="A487" s="34">
        <v>486</v>
      </c>
      <c r="B487" s="3" t="s">
        <v>1521</v>
      </c>
      <c r="C487" s="1" t="s">
        <v>1522</v>
      </c>
      <c r="D487" s="1">
        <v>32</v>
      </c>
      <c r="E487" t="s">
        <v>1523</v>
      </c>
      <c r="F487" s="3">
        <v>1</v>
      </c>
      <c r="G487" s="33">
        <v>32874</v>
      </c>
      <c r="H487" s="33">
        <v>32874</v>
      </c>
      <c r="I487" s="1"/>
      <c r="J487" s="1"/>
      <c r="K487" s="1"/>
      <c r="L487" s="1"/>
      <c r="M487" s="1"/>
      <c r="P487" s="3"/>
      <c r="R487" s="1"/>
      <c r="S487" s="1"/>
    </row>
    <row r="488" spans="1:19" ht="14.7" x14ac:dyDescent="0.65">
      <c r="A488" s="34">
        <v>487</v>
      </c>
      <c r="B488" s="3" t="s">
        <v>1524</v>
      </c>
      <c r="C488" s="1" t="s">
        <v>1525</v>
      </c>
      <c r="D488" s="1">
        <v>32</v>
      </c>
      <c r="E488" t="s">
        <v>1526</v>
      </c>
      <c r="F488" s="3">
        <v>1</v>
      </c>
      <c r="G488" s="33">
        <v>32874</v>
      </c>
      <c r="H488" s="33">
        <v>32874</v>
      </c>
      <c r="I488" s="1"/>
      <c r="J488" s="1"/>
      <c r="K488" s="1"/>
      <c r="L488" s="1"/>
      <c r="M488" s="1"/>
      <c r="P488" s="3"/>
      <c r="R488" s="1"/>
      <c r="S488" s="1"/>
    </row>
    <row r="489" spans="1:19" ht="14.7" x14ac:dyDescent="0.65">
      <c r="A489" s="34">
        <v>488</v>
      </c>
      <c r="B489" s="3" t="s">
        <v>1527</v>
      </c>
      <c r="C489" s="1" t="s">
        <v>1528</v>
      </c>
      <c r="D489" s="1">
        <v>32</v>
      </c>
      <c r="E489" t="s">
        <v>1529</v>
      </c>
      <c r="F489" s="3">
        <v>1</v>
      </c>
      <c r="G489" s="33">
        <v>32874</v>
      </c>
      <c r="H489" s="33">
        <v>32874</v>
      </c>
      <c r="I489" s="1"/>
      <c r="J489" s="1"/>
      <c r="K489" s="1"/>
      <c r="L489" s="1"/>
      <c r="M489" s="1"/>
      <c r="P489" s="3"/>
      <c r="R489" s="1"/>
      <c r="S489" s="1"/>
    </row>
    <row r="490" spans="1:19" ht="14.7" x14ac:dyDescent="0.65">
      <c r="A490" s="34">
        <v>489</v>
      </c>
      <c r="B490" s="3" t="s">
        <v>1530</v>
      </c>
      <c r="C490" s="1" t="s">
        <v>1531</v>
      </c>
      <c r="D490" s="1">
        <v>32</v>
      </c>
      <c r="E490" t="s">
        <v>1532</v>
      </c>
      <c r="F490" s="3">
        <v>1</v>
      </c>
      <c r="G490" s="33">
        <v>32874</v>
      </c>
      <c r="H490" s="33">
        <v>32874</v>
      </c>
      <c r="I490" s="1"/>
      <c r="J490" s="1"/>
      <c r="K490" s="1"/>
      <c r="L490" s="1"/>
      <c r="M490" s="1"/>
      <c r="P490" s="3"/>
      <c r="R490" s="1"/>
      <c r="S490" s="1"/>
    </row>
    <row r="491" spans="1:19" ht="14.7" x14ac:dyDescent="0.65">
      <c r="A491" s="34">
        <v>490</v>
      </c>
      <c r="B491" s="3" t="s">
        <v>1533</v>
      </c>
      <c r="C491" s="1" t="s">
        <v>1534</v>
      </c>
      <c r="D491" s="1">
        <v>32</v>
      </c>
      <c r="E491" t="s">
        <v>1535</v>
      </c>
      <c r="F491" s="3">
        <v>1</v>
      </c>
      <c r="G491" s="33">
        <v>32874</v>
      </c>
      <c r="H491" s="33">
        <v>32874</v>
      </c>
      <c r="I491" s="1"/>
      <c r="J491" s="1"/>
      <c r="K491" s="1"/>
      <c r="L491" s="1"/>
      <c r="M491" s="1"/>
      <c r="P491" s="3"/>
      <c r="R491" s="1"/>
      <c r="S491" s="1"/>
    </row>
    <row r="492" spans="1:19" ht="14.7" x14ac:dyDescent="0.65">
      <c r="A492" s="34">
        <v>491</v>
      </c>
      <c r="B492" s="3" t="s">
        <v>1536</v>
      </c>
      <c r="C492" s="1" t="s">
        <v>1537</v>
      </c>
      <c r="D492" s="1">
        <v>32</v>
      </c>
      <c r="E492" t="s">
        <v>1538</v>
      </c>
      <c r="F492" s="3">
        <v>1</v>
      </c>
      <c r="G492" s="33">
        <v>32874</v>
      </c>
      <c r="H492" s="33">
        <v>32874</v>
      </c>
      <c r="I492" s="1"/>
      <c r="J492" s="1"/>
      <c r="K492" s="1"/>
      <c r="L492" s="1"/>
      <c r="M492" s="1"/>
      <c r="P492" s="3"/>
      <c r="R492" s="1"/>
      <c r="S492" s="1"/>
    </row>
    <row r="493" spans="1:19" ht="14.7" x14ac:dyDescent="0.65">
      <c r="A493" s="34">
        <v>492</v>
      </c>
      <c r="B493" s="3" t="s">
        <v>1539</v>
      </c>
      <c r="C493" s="1" t="s">
        <v>1540</v>
      </c>
      <c r="D493" s="1">
        <v>33</v>
      </c>
      <c r="E493" t="s">
        <v>1541</v>
      </c>
      <c r="F493" s="3">
        <v>1</v>
      </c>
      <c r="G493" s="33">
        <v>32874</v>
      </c>
      <c r="H493" s="33">
        <v>32874</v>
      </c>
      <c r="I493" s="1"/>
      <c r="J493" s="1"/>
      <c r="K493" s="1"/>
      <c r="L493" s="1"/>
      <c r="M493" s="1"/>
      <c r="P493" s="3"/>
      <c r="R493" s="1"/>
      <c r="S493" s="1"/>
    </row>
    <row r="494" spans="1:19" ht="14.7" x14ac:dyDescent="0.65">
      <c r="A494" s="34">
        <v>493</v>
      </c>
      <c r="B494" s="3" t="s">
        <v>1542</v>
      </c>
      <c r="C494" s="1" t="s">
        <v>1543</v>
      </c>
      <c r="D494" s="1">
        <v>33</v>
      </c>
      <c r="E494" t="s">
        <v>1544</v>
      </c>
      <c r="F494" s="3">
        <v>1</v>
      </c>
      <c r="G494" s="33">
        <v>32874</v>
      </c>
      <c r="H494" s="33">
        <v>32874</v>
      </c>
      <c r="I494" s="1"/>
      <c r="J494" s="1"/>
      <c r="K494" s="1"/>
      <c r="L494" s="1"/>
      <c r="M494" s="1"/>
      <c r="P494" s="3"/>
      <c r="R494" s="1"/>
      <c r="S494" s="1"/>
    </row>
    <row r="495" spans="1:19" ht="14.7" x14ac:dyDescent="0.65">
      <c r="A495" s="34">
        <v>494</v>
      </c>
      <c r="B495" s="3" t="s">
        <v>1545</v>
      </c>
      <c r="C495" s="1" t="s">
        <v>1546</v>
      </c>
      <c r="D495" s="1">
        <v>33</v>
      </c>
      <c r="E495" t="s">
        <v>1547</v>
      </c>
      <c r="F495" s="3">
        <v>1</v>
      </c>
      <c r="G495" s="33">
        <v>32874</v>
      </c>
      <c r="H495" s="33">
        <v>32874</v>
      </c>
      <c r="I495" s="1"/>
      <c r="J495" s="1"/>
      <c r="K495" s="1"/>
      <c r="L495" s="1"/>
      <c r="M495" s="1"/>
      <c r="P495" s="3"/>
      <c r="R495" s="1"/>
      <c r="S495" s="1"/>
    </row>
    <row r="496" spans="1:19" ht="14.7" x14ac:dyDescent="0.65">
      <c r="A496" s="34">
        <v>495</v>
      </c>
      <c r="B496" s="3" t="s">
        <v>1548</v>
      </c>
      <c r="C496" s="1" t="s">
        <v>1549</v>
      </c>
      <c r="D496" s="1">
        <v>33</v>
      </c>
      <c r="E496" t="s">
        <v>1550</v>
      </c>
      <c r="F496" s="3">
        <v>1</v>
      </c>
      <c r="G496" s="33">
        <v>32874</v>
      </c>
      <c r="H496" s="33">
        <v>32874</v>
      </c>
      <c r="I496" s="1"/>
      <c r="J496" s="1"/>
      <c r="K496" s="1"/>
      <c r="L496" s="1"/>
      <c r="M496" s="1"/>
      <c r="P496" s="3"/>
      <c r="R496" s="1"/>
      <c r="S496" s="1"/>
    </row>
    <row r="497" spans="1:19" ht="14.7" x14ac:dyDescent="0.65">
      <c r="A497" s="34">
        <v>496</v>
      </c>
      <c r="B497" s="3" t="s">
        <v>1551</v>
      </c>
      <c r="C497" s="1" t="s">
        <v>1552</v>
      </c>
      <c r="D497" s="1">
        <v>33</v>
      </c>
      <c r="E497" t="s">
        <v>1553</v>
      </c>
      <c r="F497" s="3">
        <v>1</v>
      </c>
      <c r="G497" s="33">
        <v>32874</v>
      </c>
      <c r="H497" s="33">
        <v>32874</v>
      </c>
      <c r="I497" s="1"/>
      <c r="J497" s="1"/>
      <c r="K497" s="1"/>
      <c r="L497" s="1"/>
      <c r="M497" s="1"/>
      <c r="P497" s="3"/>
      <c r="R497" s="1"/>
      <c r="S497" s="1"/>
    </row>
    <row r="498" spans="1:19" ht="14.7" x14ac:dyDescent="0.65">
      <c r="A498" s="34">
        <v>497</v>
      </c>
      <c r="B498" s="3" t="s">
        <v>1554</v>
      </c>
      <c r="C498" s="1" t="s">
        <v>1555</v>
      </c>
      <c r="D498" s="1">
        <v>33</v>
      </c>
      <c r="E498" t="s">
        <v>1556</v>
      </c>
      <c r="F498" s="3">
        <v>1</v>
      </c>
      <c r="G498" s="33">
        <v>32874</v>
      </c>
      <c r="H498" s="33">
        <v>32874</v>
      </c>
      <c r="I498" s="1"/>
      <c r="J498" s="1"/>
      <c r="K498" s="1"/>
      <c r="L498" s="1"/>
      <c r="M498" s="1"/>
      <c r="P498" s="3"/>
      <c r="R498" s="1"/>
      <c r="S498" s="1"/>
    </row>
    <row r="499" spans="1:19" ht="14.7" x14ac:dyDescent="0.65">
      <c r="A499" s="34">
        <v>498</v>
      </c>
      <c r="B499" s="3" t="s">
        <v>1557</v>
      </c>
      <c r="C499" s="1" t="s">
        <v>1558</v>
      </c>
      <c r="D499" s="1">
        <v>33</v>
      </c>
      <c r="E499" t="s">
        <v>1559</v>
      </c>
      <c r="F499" s="3">
        <v>1</v>
      </c>
      <c r="G499" s="33">
        <v>32874</v>
      </c>
      <c r="H499" s="33">
        <v>32874</v>
      </c>
      <c r="I499" s="1"/>
      <c r="J499" s="1"/>
      <c r="K499" s="1"/>
      <c r="L499" s="1"/>
      <c r="M499" s="1"/>
      <c r="P499" s="3"/>
      <c r="R499" s="1"/>
      <c r="S499" s="1"/>
    </row>
    <row r="500" spans="1:19" ht="14.7" x14ac:dyDescent="0.65">
      <c r="A500" s="34">
        <v>499</v>
      </c>
      <c r="B500" s="3" t="s">
        <v>1560</v>
      </c>
      <c r="C500" s="1" t="s">
        <v>1561</v>
      </c>
      <c r="D500" s="1">
        <v>33</v>
      </c>
      <c r="E500" t="s">
        <v>1562</v>
      </c>
      <c r="F500" s="3">
        <v>1</v>
      </c>
      <c r="G500" s="33">
        <v>32874</v>
      </c>
      <c r="H500" s="33">
        <v>32874</v>
      </c>
      <c r="I500" s="1"/>
      <c r="J500" s="1"/>
      <c r="K500" s="1"/>
      <c r="L500" s="1"/>
      <c r="M500" s="1"/>
      <c r="P500" s="3"/>
      <c r="R500" s="1"/>
      <c r="S500" s="1"/>
    </row>
    <row r="501" spans="1:19" ht="14.7" x14ac:dyDescent="0.65">
      <c r="A501" s="34">
        <v>500</v>
      </c>
      <c r="B501" s="3" t="s">
        <v>1563</v>
      </c>
      <c r="C501" s="1" t="s">
        <v>1564</v>
      </c>
      <c r="D501" s="1">
        <v>33</v>
      </c>
      <c r="E501" t="s">
        <v>1565</v>
      </c>
      <c r="F501" s="3">
        <v>1</v>
      </c>
      <c r="G501" s="33">
        <v>32874</v>
      </c>
      <c r="H501" s="33">
        <v>32874</v>
      </c>
      <c r="I501" s="1"/>
      <c r="J501" s="1"/>
      <c r="K501" s="1"/>
      <c r="L501" s="1"/>
      <c r="M501" s="1"/>
      <c r="P501" s="3"/>
      <c r="R501" s="1"/>
      <c r="S501" s="1"/>
    </row>
    <row r="502" spans="1:19" ht="14.7" x14ac:dyDescent="0.65">
      <c r="A502" s="34">
        <v>501</v>
      </c>
      <c r="B502" s="3" t="s">
        <v>1566</v>
      </c>
      <c r="C502" s="1" t="s">
        <v>1567</v>
      </c>
      <c r="D502" s="1">
        <v>33</v>
      </c>
      <c r="E502" t="s">
        <v>1568</v>
      </c>
      <c r="F502" s="3">
        <v>1</v>
      </c>
      <c r="G502" s="33">
        <v>32874</v>
      </c>
      <c r="H502" s="33">
        <v>32874</v>
      </c>
      <c r="I502" s="1"/>
      <c r="J502" s="1"/>
      <c r="K502" s="1"/>
      <c r="L502" s="1"/>
      <c r="M502" s="1"/>
      <c r="P502" s="3"/>
      <c r="R502" s="1"/>
      <c r="S502" s="1"/>
    </row>
    <row r="503" spans="1:19" ht="14.7" x14ac:dyDescent="0.65">
      <c r="A503" s="34">
        <v>502</v>
      </c>
      <c r="B503" s="3" t="s">
        <v>1569</v>
      </c>
      <c r="C503" s="1" t="s">
        <v>1570</v>
      </c>
      <c r="D503" s="1">
        <v>33</v>
      </c>
      <c r="E503" t="s">
        <v>1571</v>
      </c>
      <c r="F503" s="3">
        <v>1</v>
      </c>
      <c r="G503" s="33">
        <v>32874</v>
      </c>
      <c r="H503" s="33">
        <v>32874</v>
      </c>
      <c r="I503" s="1"/>
      <c r="J503" s="1"/>
      <c r="K503" s="1"/>
      <c r="L503" s="1"/>
      <c r="M503" s="1"/>
      <c r="P503" s="3"/>
      <c r="R503" s="1"/>
      <c r="S503" s="1"/>
    </row>
    <row r="504" spans="1:19" ht="14.7" x14ac:dyDescent="0.65">
      <c r="A504" s="34">
        <v>503</v>
      </c>
      <c r="B504" s="3" t="s">
        <v>1572</v>
      </c>
      <c r="C504" s="1" t="s">
        <v>1573</v>
      </c>
      <c r="D504" s="1">
        <v>33</v>
      </c>
      <c r="E504" t="s">
        <v>1574</v>
      </c>
      <c r="F504" s="3">
        <v>1</v>
      </c>
      <c r="G504" s="33">
        <v>32874</v>
      </c>
      <c r="H504" s="33">
        <v>32874</v>
      </c>
      <c r="I504" s="1"/>
      <c r="J504" s="1"/>
      <c r="K504" s="1"/>
      <c r="L504" s="1"/>
      <c r="M504" s="1"/>
      <c r="P504" s="3"/>
      <c r="R504" s="1"/>
      <c r="S504" s="1"/>
    </row>
    <row r="505" spans="1:19" ht="14.7" x14ac:dyDescent="0.65">
      <c r="A505" s="34">
        <v>504</v>
      </c>
      <c r="B505" s="3" t="s">
        <v>1575</v>
      </c>
      <c r="C505" s="1" t="s">
        <v>1576</v>
      </c>
      <c r="D505" s="1">
        <v>33</v>
      </c>
      <c r="E505" t="s">
        <v>1577</v>
      </c>
      <c r="F505" s="3">
        <v>1</v>
      </c>
      <c r="G505" s="33">
        <v>32874</v>
      </c>
      <c r="H505" s="33">
        <v>32874</v>
      </c>
      <c r="I505" s="1"/>
      <c r="J505" s="1"/>
      <c r="K505" s="1"/>
      <c r="L505" s="1"/>
      <c r="M505" s="1"/>
      <c r="P505" s="3"/>
      <c r="R505" s="1"/>
      <c r="S505" s="1"/>
    </row>
    <row r="506" spans="1:19" ht="14.7" x14ac:dyDescent="0.65">
      <c r="A506" s="34">
        <v>505</v>
      </c>
      <c r="B506" s="3" t="s">
        <v>1578</v>
      </c>
      <c r="C506" s="1" t="s">
        <v>1579</v>
      </c>
      <c r="D506" s="1">
        <v>33</v>
      </c>
      <c r="E506" t="s">
        <v>1580</v>
      </c>
      <c r="F506" s="3">
        <v>1</v>
      </c>
      <c r="G506" s="33">
        <v>32874</v>
      </c>
      <c r="H506" s="33">
        <v>32874</v>
      </c>
      <c r="I506" s="1"/>
      <c r="J506" s="1"/>
      <c r="K506" s="1"/>
      <c r="L506" s="1"/>
      <c r="M506" s="1"/>
      <c r="P506" s="3"/>
      <c r="R506" s="1"/>
      <c r="S506" s="1"/>
    </row>
    <row r="507" spans="1:19" ht="14.7" x14ac:dyDescent="0.65">
      <c r="A507" s="34">
        <v>506</v>
      </c>
      <c r="B507" s="3" t="s">
        <v>1581</v>
      </c>
      <c r="C507" s="1" t="s">
        <v>1582</v>
      </c>
      <c r="D507" s="1">
        <v>33</v>
      </c>
      <c r="E507" t="s">
        <v>1583</v>
      </c>
      <c r="F507" s="3">
        <v>1</v>
      </c>
      <c r="G507" s="33">
        <v>32874</v>
      </c>
      <c r="H507" s="33">
        <v>32874</v>
      </c>
      <c r="I507" s="1"/>
      <c r="J507" s="1"/>
      <c r="K507" s="1"/>
      <c r="L507" s="1"/>
      <c r="M507" s="1"/>
      <c r="P507" s="3"/>
      <c r="R507" s="1"/>
      <c r="S507" s="1"/>
    </row>
    <row r="508" spans="1:19" ht="14.7" x14ac:dyDescent="0.65">
      <c r="A508" s="34">
        <v>507</v>
      </c>
      <c r="B508" s="3" t="s">
        <v>1584</v>
      </c>
      <c r="C508" s="1" t="s">
        <v>1585</v>
      </c>
      <c r="D508" s="1">
        <v>33</v>
      </c>
      <c r="E508" t="s">
        <v>1586</v>
      </c>
      <c r="F508" s="3">
        <v>1</v>
      </c>
      <c r="G508" s="33">
        <v>32874</v>
      </c>
      <c r="H508" s="33">
        <v>32874</v>
      </c>
      <c r="I508" s="1"/>
      <c r="J508" s="1"/>
      <c r="K508" s="1"/>
      <c r="L508" s="1"/>
      <c r="M508" s="1"/>
      <c r="P508" s="3"/>
      <c r="R508" s="1"/>
      <c r="S508" s="1"/>
    </row>
    <row r="509" spans="1:19" ht="14.7" x14ac:dyDescent="0.65">
      <c r="A509" s="34">
        <v>508</v>
      </c>
      <c r="B509" s="3" t="s">
        <v>1587</v>
      </c>
      <c r="C509" s="1" t="s">
        <v>1588</v>
      </c>
      <c r="D509" s="1">
        <v>34</v>
      </c>
      <c r="E509" t="s">
        <v>1589</v>
      </c>
      <c r="F509" s="3">
        <v>1</v>
      </c>
      <c r="G509" s="33">
        <v>32874</v>
      </c>
      <c r="H509" s="33">
        <v>32874</v>
      </c>
      <c r="I509" s="1"/>
      <c r="J509" s="1"/>
      <c r="K509" s="1"/>
      <c r="L509" s="1"/>
      <c r="M509" s="1"/>
      <c r="P509" s="3"/>
      <c r="R509" s="1"/>
      <c r="S509" s="1"/>
    </row>
    <row r="510" spans="1:19" ht="14.7" x14ac:dyDescent="0.65">
      <c r="A510" s="34">
        <v>509</v>
      </c>
      <c r="B510" s="3" t="s">
        <v>1590</v>
      </c>
      <c r="C510" s="1" t="s">
        <v>1591</v>
      </c>
      <c r="D510" s="1">
        <v>34</v>
      </c>
      <c r="E510" t="s">
        <v>1592</v>
      </c>
      <c r="F510" s="3">
        <v>1</v>
      </c>
      <c r="G510" s="33">
        <v>32874</v>
      </c>
      <c r="H510" s="33">
        <v>32874</v>
      </c>
      <c r="I510" s="1"/>
      <c r="J510" s="1"/>
      <c r="K510" s="1"/>
      <c r="L510" s="1"/>
      <c r="M510" s="1"/>
      <c r="P510" s="3"/>
      <c r="R510" s="1"/>
      <c r="S510" s="1"/>
    </row>
    <row r="511" spans="1:19" ht="14.7" x14ac:dyDescent="0.65">
      <c r="A511" s="34">
        <v>510</v>
      </c>
      <c r="B511" s="3" t="s">
        <v>1593</v>
      </c>
      <c r="C511" s="1" t="s">
        <v>1594</v>
      </c>
      <c r="D511" s="1">
        <v>34</v>
      </c>
      <c r="E511" t="s">
        <v>1595</v>
      </c>
      <c r="F511" s="3">
        <v>1</v>
      </c>
      <c r="G511" s="33">
        <v>32874</v>
      </c>
      <c r="H511" s="33">
        <v>32874</v>
      </c>
      <c r="I511" s="1"/>
      <c r="J511" s="1"/>
      <c r="K511" s="1"/>
      <c r="L511" s="1"/>
      <c r="M511" s="1"/>
      <c r="P511" s="3"/>
      <c r="R511" s="1"/>
      <c r="S511" s="1"/>
    </row>
    <row r="512" spans="1:19" ht="14.7" x14ac:dyDescent="0.65">
      <c r="A512" s="34">
        <v>511</v>
      </c>
      <c r="B512" s="3" t="s">
        <v>1596</v>
      </c>
      <c r="C512" s="1" t="s">
        <v>1597</v>
      </c>
      <c r="D512" s="1">
        <v>35</v>
      </c>
      <c r="E512" t="s">
        <v>1598</v>
      </c>
      <c r="F512" s="3">
        <v>1</v>
      </c>
      <c r="G512" s="33">
        <v>32874</v>
      </c>
      <c r="H512" s="33">
        <v>32874</v>
      </c>
      <c r="I512" s="1"/>
      <c r="J512" s="1"/>
      <c r="K512" s="1"/>
      <c r="L512" s="1"/>
      <c r="M512" s="1"/>
      <c r="P512" s="3"/>
      <c r="R512" s="1"/>
      <c r="S512" s="1"/>
    </row>
    <row r="513" spans="1:19" ht="14.7" x14ac:dyDescent="0.65">
      <c r="A513" s="34">
        <v>512</v>
      </c>
      <c r="B513" s="3" t="s">
        <v>1599</v>
      </c>
      <c r="C513" s="1" t="s">
        <v>1600</v>
      </c>
      <c r="D513" s="1">
        <v>35</v>
      </c>
      <c r="E513" t="s">
        <v>1601</v>
      </c>
      <c r="F513" s="3">
        <v>1</v>
      </c>
      <c r="G513" s="33">
        <v>32874</v>
      </c>
      <c r="H513" s="33">
        <v>32874</v>
      </c>
      <c r="I513" s="1"/>
      <c r="J513" s="1"/>
      <c r="K513" s="1"/>
      <c r="L513" s="1"/>
      <c r="M513" s="1"/>
      <c r="P513" s="3"/>
      <c r="R513" s="1"/>
      <c r="S513" s="1"/>
    </row>
    <row r="514" spans="1:19" ht="14.7" x14ac:dyDescent="0.65">
      <c r="A514" s="34">
        <v>513</v>
      </c>
      <c r="B514" s="3" t="s">
        <v>1602</v>
      </c>
      <c r="C514" s="1" t="s">
        <v>1603</v>
      </c>
      <c r="D514" s="1">
        <v>35</v>
      </c>
      <c r="E514" t="s">
        <v>1604</v>
      </c>
      <c r="F514" s="3">
        <v>1</v>
      </c>
      <c r="G514" s="33">
        <v>32874</v>
      </c>
      <c r="H514" s="33">
        <v>32874</v>
      </c>
      <c r="I514" s="1"/>
      <c r="J514" s="1"/>
      <c r="K514" s="1"/>
      <c r="L514" s="1"/>
      <c r="M514" s="1"/>
      <c r="P514" s="3"/>
      <c r="R514" s="1"/>
      <c r="S514" s="1"/>
    </row>
    <row r="515" spans="1:19" ht="14.7" x14ac:dyDescent="0.65">
      <c r="A515" s="34">
        <v>514</v>
      </c>
      <c r="B515" s="3" t="s">
        <v>1605</v>
      </c>
      <c r="C515" s="1" t="s">
        <v>1606</v>
      </c>
      <c r="D515" s="1">
        <v>35</v>
      </c>
      <c r="E515" t="s">
        <v>1607</v>
      </c>
      <c r="F515" s="3">
        <v>1</v>
      </c>
      <c r="G515" s="33">
        <v>32874</v>
      </c>
      <c r="H515" s="33">
        <v>32874</v>
      </c>
      <c r="I515" s="1"/>
      <c r="J515" s="1"/>
      <c r="K515" s="1"/>
      <c r="L515" s="1"/>
      <c r="M515" s="1"/>
      <c r="P515" s="3"/>
      <c r="R515" s="1"/>
      <c r="S515" s="1"/>
    </row>
    <row r="516" spans="1:19" ht="14.7" x14ac:dyDescent="0.65">
      <c r="A516" s="34">
        <v>515</v>
      </c>
      <c r="B516" s="3" t="s">
        <v>1608</v>
      </c>
      <c r="C516" s="1" t="s">
        <v>1609</v>
      </c>
      <c r="D516" s="1">
        <v>35</v>
      </c>
      <c r="E516" t="s">
        <v>1610</v>
      </c>
      <c r="F516" s="3">
        <v>1</v>
      </c>
      <c r="G516" s="33">
        <v>32874</v>
      </c>
      <c r="H516" s="33">
        <v>32874</v>
      </c>
      <c r="I516" s="1"/>
      <c r="J516" s="1"/>
      <c r="K516" s="1"/>
      <c r="L516" s="1"/>
      <c r="M516" s="1"/>
      <c r="P516" s="3"/>
      <c r="R516" s="1"/>
      <c r="S516" s="1"/>
    </row>
    <row r="517" spans="1:19" ht="14.7" x14ac:dyDescent="0.65">
      <c r="A517" s="34">
        <v>516</v>
      </c>
      <c r="B517" s="3" t="s">
        <v>1611</v>
      </c>
      <c r="C517" s="1" t="s">
        <v>1612</v>
      </c>
      <c r="D517" s="1">
        <v>35</v>
      </c>
      <c r="E517" t="s">
        <v>1613</v>
      </c>
      <c r="F517" s="3">
        <v>1</v>
      </c>
      <c r="G517" s="33">
        <v>32874</v>
      </c>
      <c r="H517" s="33">
        <v>32874</v>
      </c>
      <c r="I517" s="1"/>
      <c r="J517" s="1"/>
      <c r="K517" s="1"/>
      <c r="L517" s="1"/>
      <c r="M517" s="1"/>
      <c r="P517" s="3"/>
      <c r="R517" s="1"/>
      <c r="S517" s="1"/>
    </row>
    <row r="518" spans="1:19" ht="14.7" x14ac:dyDescent="0.65">
      <c r="A518" s="34">
        <v>517</v>
      </c>
      <c r="B518" s="3" t="s">
        <v>1614</v>
      </c>
      <c r="C518" s="1" t="s">
        <v>1615</v>
      </c>
      <c r="D518" s="1">
        <v>35</v>
      </c>
      <c r="E518" t="s">
        <v>1616</v>
      </c>
      <c r="F518" s="3">
        <v>1</v>
      </c>
      <c r="G518" s="33">
        <v>32874</v>
      </c>
      <c r="H518" s="33">
        <v>32874</v>
      </c>
      <c r="I518" s="1"/>
      <c r="J518" s="1"/>
      <c r="K518" s="1"/>
      <c r="L518" s="1"/>
      <c r="M518" s="1"/>
      <c r="P518" s="3"/>
      <c r="R518" s="1"/>
      <c r="S518" s="1"/>
    </row>
    <row r="519" spans="1:19" ht="14.7" x14ac:dyDescent="0.65">
      <c r="A519" s="34">
        <v>518</v>
      </c>
      <c r="B519" s="3" t="s">
        <v>1617</v>
      </c>
      <c r="C519" s="1" t="s">
        <v>1618</v>
      </c>
      <c r="D519" s="1">
        <v>35</v>
      </c>
      <c r="E519" t="s">
        <v>1619</v>
      </c>
      <c r="F519" s="3">
        <v>1</v>
      </c>
      <c r="G519" s="33">
        <v>32874</v>
      </c>
      <c r="H519" s="33">
        <v>32874</v>
      </c>
      <c r="I519" s="1"/>
      <c r="J519" s="1"/>
      <c r="K519" s="1"/>
      <c r="L519" s="1"/>
      <c r="M519" s="1"/>
      <c r="P519" s="3"/>
      <c r="R519" s="1"/>
      <c r="S519" s="1"/>
    </row>
    <row r="520" spans="1:19" ht="14.7" x14ac:dyDescent="0.65">
      <c r="A520" s="34">
        <v>519</v>
      </c>
      <c r="B520" s="3" t="s">
        <v>1620</v>
      </c>
      <c r="C520" s="1" t="s">
        <v>1621</v>
      </c>
      <c r="D520" s="1">
        <v>35</v>
      </c>
      <c r="E520" t="s">
        <v>1622</v>
      </c>
      <c r="F520" s="3">
        <v>1</v>
      </c>
      <c r="G520" s="33">
        <v>32874</v>
      </c>
      <c r="H520" s="33">
        <v>32874</v>
      </c>
      <c r="I520" s="1"/>
      <c r="J520" s="1"/>
      <c r="K520" s="1"/>
      <c r="L520" s="1"/>
      <c r="M520" s="1"/>
      <c r="P520" s="3"/>
      <c r="R520" s="1"/>
      <c r="S520" s="1"/>
    </row>
    <row r="521" spans="1:19" ht="14.7" x14ac:dyDescent="0.65">
      <c r="A521" s="34">
        <v>520</v>
      </c>
      <c r="B521" s="3" t="s">
        <v>1623</v>
      </c>
      <c r="C521" s="1" t="s">
        <v>1624</v>
      </c>
      <c r="D521" s="1">
        <v>35</v>
      </c>
      <c r="E521" t="s">
        <v>1625</v>
      </c>
      <c r="F521" s="3">
        <v>1</v>
      </c>
      <c r="G521" s="33">
        <v>32874</v>
      </c>
      <c r="H521" s="33">
        <v>32874</v>
      </c>
      <c r="I521" s="1"/>
      <c r="J521" s="1"/>
      <c r="K521" s="1"/>
      <c r="L521" s="1"/>
      <c r="M521" s="1"/>
      <c r="P521" s="3"/>
      <c r="R521" s="1"/>
      <c r="S521" s="1"/>
    </row>
    <row r="522" spans="1:19" ht="14.7" x14ac:dyDescent="0.65">
      <c r="A522" s="34">
        <v>521</v>
      </c>
      <c r="B522" s="3" t="s">
        <v>1626</v>
      </c>
      <c r="C522" s="1" t="s">
        <v>1627</v>
      </c>
      <c r="D522" s="1">
        <v>35</v>
      </c>
      <c r="E522" t="s">
        <v>1628</v>
      </c>
      <c r="F522" s="3">
        <v>1</v>
      </c>
      <c r="G522" s="33">
        <v>32874</v>
      </c>
      <c r="H522" s="33">
        <v>32874</v>
      </c>
      <c r="I522" s="1"/>
      <c r="J522" s="1"/>
      <c r="K522" s="1"/>
      <c r="L522" s="1"/>
      <c r="M522" s="1"/>
      <c r="P522" s="3"/>
      <c r="R522" s="1"/>
      <c r="S522" s="1"/>
    </row>
    <row r="523" spans="1:19" ht="14.7" x14ac:dyDescent="0.65">
      <c r="A523" s="34">
        <v>522</v>
      </c>
      <c r="B523" s="3" t="s">
        <v>1629</v>
      </c>
      <c r="C523" s="1" t="s">
        <v>1630</v>
      </c>
      <c r="D523" s="1">
        <v>35</v>
      </c>
      <c r="E523" t="s">
        <v>1631</v>
      </c>
      <c r="F523" s="3">
        <v>1</v>
      </c>
      <c r="G523" s="33">
        <v>32874</v>
      </c>
      <c r="H523" s="33">
        <v>32874</v>
      </c>
      <c r="I523" s="1"/>
      <c r="J523" s="1"/>
      <c r="K523" s="1"/>
      <c r="L523" s="1"/>
      <c r="M523" s="1"/>
      <c r="P523" s="3"/>
      <c r="R523" s="1"/>
      <c r="S523" s="1"/>
    </row>
    <row r="524" spans="1:19" ht="14.7" x14ac:dyDescent="0.65">
      <c r="A524" s="34">
        <v>523</v>
      </c>
      <c r="B524" s="3" t="s">
        <v>1632</v>
      </c>
      <c r="C524" s="1" t="s">
        <v>1633</v>
      </c>
      <c r="D524" s="1">
        <v>35</v>
      </c>
      <c r="E524" t="s">
        <v>1634</v>
      </c>
      <c r="F524" s="3">
        <v>1</v>
      </c>
      <c r="G524" s="33">
        <v>32874</v>
      </c>
      <c r="H524" s="33">
        <v>32874</v>
      </c>
      <c r="I524" s="1"/>
      <c r="J524" s="1"/>
      <c r="K524" s="1"/>
      <c r="L524" s="1"/>
      <c r="M524" s="1"/>
      <c r="P524" s="3"/>
      <c r="R524" s="1"/>
      <c r="S524" s="1"/>
    </row>
    <row r="525" spans="1:19" ht="14.7" x14ac:dyDescent="0.65">
      <c r="A525" s="34">
        <v>524</v>
      </c>
      <c r="B525" s="3" t="s">
        <v>1635</v>
      </c>
      <c r="C525" s="1" t="s">
        <v>1636</v>
      </c>
      <c r="D525" s="1">
        <v>35</v>
      </c>
      <c r="E525" t="s">
        <v>1637</v>
      </c>
      <c r="F525" s="3">
        <v>1</v>
      </c>
      <c r="G525" s="33">
        <v>32874</v>
      </c>
      <c r="H525" s="33">
        <v>32874</v>
      </c>
      <c r="I525" s="1"/>
      <c r="J525" s="1"/>
      <c r="K525" s="1"/>
      <c r="L525" s="1"/>
      <c r="M525" s="1"/>
      <c r="P525" s="3"/>
      <c r="R525" s="1"/>
      <c r="S525" s="1"/>
    </row>
    <row r="526" spans="1:19" ht="14.7" x14ac:dyDescent="0.65">
      <c r="A526" s="34">
        <v>525</v>
      </c>
      <c r="B526" s="3" t="s">
        <v>1638</v>
      </c>
      <c r="C526" s="1" t="s">
        <v>1639</v>
      </c>
      <c r="D526" s="1">
        <v>35</v>
      </c>
      <c r="E526" t="s">
        <v>1640</v>
      </c>
      <c r="F526" s="3">
        <v>1</v>
      </c>
      <c r="G526" s="33">
        <v>32874</v>
      </c>
      <c r="H526" s="33">
        <v>32874</v>
      </c>
      <c r="I526" s="1"/>
      <c r="J526" s="1"/>
      <c r="K526" s="1"/>
      <c r="L526" s="1"/>
      <c r="M526" s="1"/>
      <c r="P526" s="3"/>
      <c r="R526" s="1"/>
      <c r="S526" s="1"/>
    </row>
    <row r="527" spans="1:19" ht="14.7" x14ac:dyDescent="0.65">
      <c r="A527" s="34">
        <v>526</v>
      </c>
      <c r="B527" s="3" t="s">
        <v>1641</v>
      </c>
      <c r="C527" s="1" t="s">
        <v>1642</v>
      </c>
      <c r="D527" s="1">
        <v>35</v>
      </c>
      <c r="E527" t="s">
        <v>1643</v>
      </c>
      <c r="F527" s="3">
        <v>1</v>
      </c>
      <c r="G527" s="33">
        <v>32874</v>
      </c>
      <c r="H527" s="33">
        <v>32874</v>
      </c>
      <c r="I527" s="1"/>
      <c r="J527" s="1"/>
      <c r="K527" s="1"/>
      <c r="L527" s="1"/>
      <c r="M527" s="1"/>
      <c r="P527" s="3"/>
      <c r="R527" s="1"/>
      <c r="S527" s="1"/>
    </row>
    <row r="528" spans="1:19" ht="14.7" x14ac:dyDescent="0.65">
      <c r="A528" s="34">
        <v>527</v>
      </c>
      <c r="B528" s="3" t="s">
        <v>1644</v>
      </c>
      <c r="C528" s="1" t="s">
        <v>1645</v>
      </c>
      <c r="D528" s="1">
        <v>35</v>
      </c>
      <c r="E528" t="s">
        <v>1646</v>
      </c>
      <c r="F528" s="3">
        <v>1</v>
      </c>
      <c r="G528" s="33">
        <v>32874</v>
      </c>
      <c r="H528" s="33">
        <v>32874</v>
      </c>
      <c r="I528" s="1"/>
      <c r="J528" s="1"/>
      <c r="K528" s="1"/>
      <c r="L528" s="1"/>
      <c r="M528" s="1"/>
      <c r="P528" s="3"/>
      <c r="R528" s="1"/>
      <c r="S528" s="1"/>
    </row>
    <row r="529" spans="1:19" ht="14.7" x14ac:dyDescent="0.65">
      <c r="A529" s="34">
        <v>528</v>
      </c>
      <c r="B529" s="3" t="s">
        <v>1647</v>
      </c>
      <c r="C529" s="1" t="s">
        <v>1648</v>
      </c>
      <c r="D529" s="1">
        <v>35</v>
      </c>
      <c r="E529" t="s">
        <v>1649</v>
      </c>
      <c r="F529" s="3">
        <v>1</v>
      </c>
      <c r="G529" s="33">
        <v>32874</v>
      </c>
      <c r="H529" s="33">
        <v>32874</v>
      </c>
      <c r="I529" s="1"/>
      <c r="J529" s="1"/>
      <c r="K529" s="1"/>
      <c r="L529" s="1"/>
      <c r="M529" s="1"/>
      <c r="P529" s="3"/>
      <c r="R529" s="1"/>
      <c r="S529" s="1"/>
    </row>
    <row r="530" spans="1:19" ht="14.7" x14ac:dyDescent="0.65">
      <c r="A530" s="34">
        <v>529</v>
      </c>
      <c r="B530" s="3" t="s">
        <v>1650</v>
      </c>
      <c r="C530" s="1" t="s">
        <v>1651</v>
      </c>
      <c r="D530" s="1">
        <v>35</v>
      </c>
      <c r="E530" t="s">
        <v>1652</v>
      </c>
      <c r="F530" s="3">
        <v>1</v>
      </c>
      <c r="G530" s="33">
        <v>32874</v>
      </c>
      <c r="H530" s="33">
        <v>32874</v>
      </c>
      <c r="I530" s="1"/>
      <c r="J530" s="1"/>
      <c r="K530" s="1"/>
      <c r="L530" s="1"/>
      <c r="M530" s="1"/>
      <c r="P530" s="3"/>
      <c r="R530" s="1"/>
      <c r="S530" s="1"/>
    </row>
    <row r="531" spans="1:19" ht="14.7" x14ac:dyDescent="0.65">
      <c r="A531" s="34">
        <v>530</v>
      </c>
      <c r="B531" s="3" t="s">
        <v>1653</v>
      </c>
      <c r="C531" s="1" t="s">
        <v>1654</v>
      </c>
      <c r="D531" s="1">
        <v>35</v>
      </c>
      <c r="E531" t="s">
        <v>1655</v>
      </c>
      <c r="F531" s="3">
        <v>1</v>
      </c>
      <c r="G531" s="33">
        <v>32874</v>
      </c>
      <c r="H531" s="33">
        <v>32874</v>
      </c>
      <c r="I531" s="1"/>
      <c r="J531" s="1"/>
      <c r="K531" s="1"/>
      <c r="L531" s="1"/>
      <c r="M531" s="1"/>
      <c r="P531" s="3"/>
      <c r="R531" s="1"/>
      <c r="S531" s="1"/>
    </row>
    <row r="532" spans="1:19" ht="14.7" x14ac:dyDescent="0.65">
      <c r="A532" s="34">
        <v>531</v>
      </c>
      <c r="B532" s="3" t="s">
        <v>1656</v>
      </c>
      <c r="C532" s="1" t="s">
        <v>1657</v>
      </c>
      <c r="D532" s="1">
        <v>35</v>
      </c>
      <c r="E532" t="s">
        <v>1658</v>
      </c>
      <c r="F532" s="3">
        <v>1</v>
      </c>
      <c r="G532" s="33">
        <v>32874</v>
      </c>
      <c r="H532" s="33">
        <v>32874</v>
      </c>
      <c r="I532" s="1"/>
      <c r="J532" s="1"/>
      <c r="K532" s="1"/>
      <c r="L532" s="1"/>
      <c r="M532" s="1"/>
      <c r="P532" s="3"/>
      <c r="R532" s="1"/>
      <c r="S532" s="1"/>
    </row>
    <row r="533" spans="1:19" ht="14.7" x14ac:dyDescent="0.65">
      <c r="A533" s="34">
        <v>532</v>
      </c>
      <c r="B533" s="3" t="s">
        <v>1659</v>
      </c>
      <c r="C533" s="1" t="s">
        <v>1660</v>
      </c>
      <c r="D533" s="1">
        <v>35</v>
      </c>
      <c r="E533" t="s">
        <v>1661</v>
      </c>
      <c r="F533" s="3">
        <v>1</v>
      </c>
      <c r="G533" s="33">
        <v>32874</v>
      </c>
      <c r="H533" s="33">
        <v>32874</v>
      </c>
      <c r="I533" s="1"/>
      <c r="J533" s="1"/>
      <c r="K533" s="1"/>
      <c r="L533" s="1"/>
      <c r="M533" s="1"/>
      <c r="P533" s="3"/>
      <c r="R533" s="1"/>
      <c r="S533" s="1"/>
    </row>
    <row r="534" spans="1:19" ht="14.7" x14ac:dyDescent="0.65">
      <c r="A534" s="34">
        <v>533</v>
      </c>
      <c r="B534" s="3" t="s">
        <v>1662</v>
      </c>
      <c r="C534" s="1" t="s">
        <v>1663</v>
      </c>
      <c r="D534" s="1">
        <v>35</v>
      </c>
      <c r="E534" t="s">
        <v>1664</v>
      </c>
      <c r="F534" s="3">
        <v>1</v>
      </c>
      <c r="G534" s="33">
        <v>32874</v>
      </c>
      <c r="H534" s="33">
        <v>32874</v>
      </c>
      <c r="I534" s="1"/>
      <c r="J534" s="1"/>
      <c r="K534" s="1"/>
      <c r="L534" s="1"/>
      <c r="M534" s="1"/>
      <c r="P534" s="3"/>
      <c r="R534" s="1"/>
      <c r="S534" s="1"/>
    </row>
    <row r="535" spans="1:19" ht="14.7" x14ac:dyDescent="0.65">
      <c r="A535" s="34">
        <v>534</v>
      </c>
      <c r="B535" s="3" t="s">
        <v>1665</v>
      </c>
      <c r="C535" s="1" t="s">
        <v>1666</v>
      </c>
      <c r="D535" s="1">
        <v>35</v>
      </c>
      <c r="E535" t="s">
        <v>1667</v>
      </c>
      <c r="F535" s="3">
        <v>1</v>
      </c>
      <c r="G535" s="33">
        <v>32874</v>
      </c>
      <c r="H535" s="33">
        <v>32874</v>
      </c>
      <c r="I535" s="1"/>
      <c r="J535" s="1"/>
      <c r="K535" s="1"/>
      <c r="L535" s="1"/>
      <c r="M535" s="1"/>
      <c r="P535" s="3"/>
      <c r="R535" s="1"/>
      <c r="S535" s="1"/>
    </row>
    <row r="536" spans="1:19" ht="14.7" x14ac:dyDescent="0.65">
      <c r="A536" s="34">
        <v>535</v>
      </c>
      <c r="B536" s="3" t="s">
        <v>1668</v>
      </c>
      <c r="C536" s="1" t="s">
        <v>1669</v>
      </c>
      <c r="D536" s="1">
        <v>36</v>
      </c>
      <c r="E536" t="s">
        <v>1670</v>
      </c>
      <c r="F536" s="3">
        <v>1</v>
      </c>
      <c r="G536" s="33">
        <v>32874</v>
      </c>
      <c r="H536" s="33">
        <v>32874</v>
      </c>
      <c r="I536" s="1"/>
      <c r="J536" s="1"/>
      <c r="K536" s="1"/>
      <c r="L536" s="1"/>
      <c r="M536" s="1"/>
      <c r="P536" s="3"/>
      <c r="R536" s="1"/>
      <c r="S536" s="1"/>
    </row>
    <row r="537" spans="1:19" ht="14.7" x14ac:dyDescent="0.65">
      <c r="A537" s="34">
        <v>536</v>
      </c>
      <c r="B537" s="3" t="s">
        <v>1671</v>
      </c>
      <c r="C537" s="1" t="s">
        <v>1672</v>
      </c>
      <c r="D537" s="1">
        <v>36</v>
      </c>
      <c r="E537" t="s">
        <v>1673</v>
      </c>
      <c r="F537" s="3">
        <v>1</v>
      </c>
      <c r="G537" s="33">
        <v>32874</v>
      </c>
      <c r="H537" s="33">
        <v>32874</v>
      </c>
      <c r="I537" s="1"/>
      <c r="J537" s="1"/>
      <c r="K537" s="1"/>
      <c r="L537" s="1"/>
      <c r="M537" s="1"/>
      <c r="P537" s="3"/>
      <c r="R537" s="1"/>
      <c r="S537" s="1"/>
    </row>
    <row r="538" spans="1:19" ht="14.7" x14ac:dyDescent="0.65">
      <c r="A538" s="34">
        <v>537</v>
      </c>
      <c r="B538" s="3" t="s">
        <v>1674</v>
      </c>
      <c r="C538" s="1" t="s">
        <v>1675</v>
      </c>
      <c r="D538" s="1">
        <v>36</v>
      </c>
      <c r="E538" t="s">
        <v>1676</v>
      </c>
      <c r="F538" s="3">
        <v>1</v>
      </c>
      <c r="G538" s="33">
        <v>32874</v>
      </c>
      <c r="H538" s="33">
        <v>32874</v>
      </c>
      <c r="I538" s="1"/>
      <c r="J538" s="1"/>
      <c r="K538" s="1"/>
      <c r="L538" s="1"/>
      <c r="M538" s="1"/>
      <c r="P538" s="3"/>
      <c r="R538" s="1"/>
      <c r="S538" s="1"/>
    </row>
    <row r="539" spans="1:19" ht="14.7" x14ac:dyDescent="0.65">
      <c r="A539" s="34">
        <v>538</v>
      </c>
      <c r="B539" s="3" t="s">
        <v>1677</v>
      </c>
      <c r="C539" s="1" t="s">
        <v>1678</v>
      </c>
      <c r="D539" s="1">
        <v>36</v>
      </c>
      <c r="E539" t="s">
        <v>1679</v>
      </c>
      <c r="F539" s="3">
        <v>1</v>
      </c>
      <c r="G539" s="33">
        <v>32874</v>
      </c>
      <c r="H539" s="33">
        <v>32874</v>
      </c>
      <c r="I539" s="1"/>
      <c r="J539" s="1"/>
      <c r="K539" s="1"/>
      <c r="L539" s="1"/>
      <c r="M539" s="1"/>
      <c r="P539" s="3"/>
      <c r="R539" s="1"/>
      <c r="S539" s="1"/>
    </row>
    <row r="540" spans="1:19" ht="14.7" x14ac:dyDescent="0.65">
      <c r="A540" s="34">
        <v>539</v>
      </c>
      <c r="B540" s="3" t="s">
        <v>1680</v>
      </c>
      <c r="C540" s="1" t="s">
        <v>1681</v>
      </c>
      <c r="D540" s="1">
        <v>36</v>
      </c>
      <c r="E540" t="s">
        <v>1682</v>
      </c>
      <c r="F540" s="3">
        <v>1</v>
      </c>
      <c r="G540" s="33">
        <v>32874</v>
      </c>
      <c r="H540" s="33">
        <v>32874</v>
      </c>
      <c r="I540" s="1"/>
      <c r="J540" s="1"/>
      <c r="K540" s="1"/>
      <c r="L540" s="1"/>
      <c r="M540" s="1"/>
      <c r="P540" s="3"/>
      <c r="R540" s="1"/>
      <c r="S540" s="1"/>
    </row>
    <row r="541" spans="1:19" ht="14.7" x14ac:dyDescent="0.65">
      <c r="A541" s="34">
        <v>540</v>
      </c>
      <c r="B541" s="3" t="s">
        <v>1683</v>
      </c>
      <c r="C541" s="1" t="s">
        <v>1684</v>
      </c>
      <c r="D541" s="1">
        <v>36</v>
      </c>
      <c r="E541" t="s">
        <v>1685</v>
      </c>
      <c r="F541" s="3">
        <v>1</v>
      </c>
      <c r="G541" s="33">
        <v>32874</v>
      </c>
      <c r="H541" s="33">
        <v>32874</v>
      </c>
      <c r="I541" s="1"/>
      <c r="J541" s="1"/>
      <c r="K541" s="1"/>
      <c r="L541" s="1"/>
      <c r="M541" s="1"/>
      <c r="P541" s="3"/>
      <c r="R541" s="1"/>
      <c r="S541" s="1"/>
    </row>
    <row r="542" spans="1:19" ht="14.7" x14ac:dyDescent="0.65">
      <c r="A542" s="34">
        <v>541</v>
      </c>
      <c r="B542" s="3" t="s">
        <v>1686</v>
      </c>
      <c r="C542" s="1" t="s">
        <v>1687</v>
      </c>
      <c r="D542" s="1">
        <v>36</v>
      </c>
      <c r="E542" t="s">
        <v>1688</v>
      </c>
      <c r="F542" s="3">
        <v>1</v>
      </c>
      <c r="G542" s="33">
        <v>32874</v>
      </c>
      <c r="H542" s="33">
        <v>32874</v>
      </c>
      <c r="I542" s="1"/>
      <c r="J542" s="1"/>
      <c r="K542" s="1"/>
      <c r="L542" s="1"/>
      <c r="M542" s="1"/>
      <c r="P542" s="3"/>
      <c r="R542" s="1"/>
      <c r="S542" s="1"/>
    </row>
    <row r="543" spans="1:19" ht="14.7" x14ac:dyDescent="0.65">
      <c r="A543" s="34">
        <v>542</v>
      </c>
      <c r="B543" s="3" t="s">
        <v>1689</v>
      </c>
      <c r="C543" s="1" t="s">
        <v>1690</v>
      </c>
      <c r="D543" s="1">
        <v>36</v>
      </c>
      <c r="E543" t="s">
        <v>1691</v>
      </c>
      <c r="F543" s="3">
        <v>1</v>
      </c>
      <c r="G543" s="33">
        <v>32874</v>
      </c>
      <c r="H543" s="33">
        <v>32874</v>
      </c>
      <c r="I543" s="1"/>
      <c r="J543" s="1"/>
      <c r="K543" s="1"/>
      <c r="L543" s="1"/>
      <c r="M543" s="1"/>
      <c r="P543" s="3"/>
      <c r="R543" s="1"/>
      <c r="S543" s="1"/>
    </row>
    <row r="544" spans="1:19" ht="14.7" x14ac:dyDescent="0.65">
      <c r="A544" s="34">
        <v>543</v>
      </c>
      <c r="B544" s="3" t="s">
        <v>1692</v>
      </c>
      <c r="C544" s="1" t="s">
        <v>1693</v>
      </c>
      <c r="D544" s="1">
        <v>36</v>
      </c>
      <c r="E544" t="s">
        <v>1694</v>
      </c>
      <c r="F544" s="3">
        <v>1</v>
      </c>
      <c r="G544" s="33">
        <v>32874</v>
      </c>
      <c r="H544" s="33">
        <v>32874</v>
      </c>
      <c r="I544" s="1"/>
      <c r="J544" s="1"/>
      <c r="K544" s="1"/>
      <c r="L544" s="1"/>
      <c r="M544" s="1"/>
      <c r="P544" s="3"/>
      <c r="R544" s="1"/>
      <c r="S544" s="1"/>
    </row>
    <row r="545" spans="1:19" ht="14.7" x14ac:dyDescent="0.65">
      <c r="A545" s="34">
        <v>544</v>
      </c>
      <c r="B545" s="3" t="s">
        <v>1695</v>
      </c>
      <c r="C545" s="1" t="s">
        <v>1696</v>
      </c>
      <c r="D545" s="1">
        <v>36</v>
      </c>
      <c r="E545" t="s">
        <v>1697</v>
      </c>
      <c r="F545" s="3">
        <v>1</v>
      </c>
      <c r="G545" s="33">
        <v>32874</v>
      </c>
      <c r="H545" s="33">
        <v>32874</v>
      </c>
      <c r="I545" s="1"/>
      <c r="J545" s="1"/>
      <c r="K545" s="1"/>
      <c r="L545" s="1"/>
      <c r="M545" s="1"/>
      <c r="P545" s="3"/>
      <c r="R545" s="1"/>
      <c r="S545" s="1"/>
    </row>
    <row r="546" spans="1:19" ht="14.7" x14ac:dyDescent="0.65">
      <c r="A546" s="34">
        <v>545</v>
      </c>
      <c r="B546" s="3" t="s">
        <v>1698</v>
      </c>
      <c r="C546" s="1" t="s">
        <v>1699</v>
      </c>
      <c r="D546" s="1">
        <v>36</v>
      </c>
      <c r="E546" t="s">
        <v>1700</v>
      </c>
      <c r="F546" s="3">
        <v>1</v>
      </c>
      <c r="G546" s="33">
        <v>32874</v>
      </c>
      <c r="H546" s="33">
        <v>32874</v>
      </c>
      <c r="I546" s="1"/>
      <c r="J546" s="1"/>
      <c r="K546" s="1"/>
      <c r="L546" s="1"/>
      <c r="M546" s="1"/>
      <c r="P546" s="3"/>
      <c r="R546" s="1"/>
      <c r="S546" s="1"/>
    </row>
    <row r="547" spans="1:19" ht="14.7" x14ac:dyDescent="0.65">
      <c r="A547" s="34">
        <v>546</v>
      </c>
      <c r="B547" s="3" t="s">
        <v>1701</v>
      </c>
      <c r="C547" s="1" t="s">
        <v>1702</v>
      </c>
      <c r="D547" s="1">
        <v>36</v>
      </c>
      <c r="E547" t="s">
        <v>1703</v>
      </c>
      <c r="F547" s="3">
        <v>1</v>
      </c>
      <c r="G547" s="33">
        <v>32874</v>
      </c>
      <c r="H547" s="33">
        <v>32874</v>
      </c>
      <c r="I547" s="1"/>
      <c r="J547" s="1"/>
      <c r="K547" s="1"/>
      <c r="L547" s="1"/>
      <c r="M547" s="1"/>
      <c r="P547" s="3"/>
      <c r="R547" s="1"/>
      <c r="S547" s="1"/>
    </row>
    <row r="548" spans="1:19" ht="14.7" x14ac:dyDescent="0.65">
      <c r="A548" s="34">
        <v>547</v>
      </c>
      <c r="B548" s="3" t="s">
        <v>1704</v>
      </c>
      <c r="C548" s="1" t="s">
        <v>1705</v>
      </c>
      <c r="D548" s="1">
        <v>36</v>
      </c>
      <c r="E548" t="s">
        <v>1706</v>
      </c>
      <c r="F548" s="3">
        <v>1</v>
      </c>
      <c r="G548" s="33">
        <v>32874</v>
      </c>
      <c r="H548" s="33">
        <v>32874</v>
      </c>
      <c r="I548" s="1"/>
      <c r="J548" s="1"/>
      <c r="K548" s="1"/>
      <c r="L548" s="1"/>
      <c r="M548" s="1"/>
      <c r="P548" s="3"/>
      <c r="R548" s="1"/>
      <c r="S548" s="1"/>
    </row>
    <row r="549" spans="1:19" ht="14.7" x14ac:dyDescent="0.65">
      <c r="A549" s="34">
        <v>548</v>
      </c>
      <c r="B549" s="3" t="s">
        <v>1707</v>
      </c>
      <c r="C549" s="1" t="s">
        <v>1708</v>
      </c>
      <c r="D549" s="1">
        <v>36</v>
      </c>
      <c r="E549" t="s">
        <v>1709</v>
      </c>
      <c r="F549" s="3">
        <v>1</v>
      </c>
      <c r="G549" s="33">
        <v>32874</v>
      </c>
      <c r="H549" s="33">
        <v>32874</v>
      </c>
      <c r="I549" s="1"/>
      <c r="J549" s="1"/>
      <c r="K549" s="1"/>
      <c r="L549" s="1"/>
      <c r="M549" s="1"/>
      <c r="P549" s="3"/>
      <c r="R549" s="1"/>
      <c r="S549" s="1"/>
    </row>
    <row r="550" spans="1:19" ht="14.7" x14ac:dyDescent="0.65">
      <c r="A550" s="34">
        <v>549</v>
      </c>
      <c r="B550" s="3" t="s">
        <v>1710</v>
      </c>
      <c r="C550" s="1" t="s">
        <v>1711</v>
      </c>
      <c r="D550" s="1">
        <v>36</v>
      </c>
      <c r="E550" t="s">
        <v>1712</v>
      </c>
      <c r="F550" s="3">
        <v>1</v>
      </c>
      <c r="G550" s="33">
        <v>32874</v>
      </c>
      <c r="H550" s="33">
        <v>32874</v>
      </c>
      <c r="I550" s="1"/>
      <c r="J550" s="1"/>
      <c r="K550" s="1"/>
      <c r="L550" s="1"/>
      <c r="M550" s="1"/>
      <c r="P550" s="3"/>
      <c r="R550" s="1"/>
      <c r="S550" s="1"/>
    </row>
    <row r="551" spans="1:19" ht="14.7" x14ac:dyDescent="0.65">
      <c r="A551" s="34">
        <v>550</v>
      </c>
      <c r="B551" s="3" t="s">
        <v>1713</v>
      </c>
      <c r="C551" s="1" t="s">
        <v>1714</v>
      </c>
      <c r="D551" s="1">
        <v>36</v>
      </c>
      <c r="E551" t="s">
        <v>1715</v>
      </c>
      <c r="F551" s="3">
        <v>1</v>
      </c>
      <c r="G551" s="33">
        <v>32874</v>
      </c>
      <c r="H551" s="33">
        <v>32874</v>
      </c>
      <c r="I551" s="1"/>
      <c r="J551" s="1"/>
      <c r="K551" s="1"/>
      <c r="L551" s="1"/>
      <c r="M551" s="1"/>
      <c r="P551" s="3"/>
      <c r="R551" s="1"/>
      <c r="S551" s="1"/>
    </row>
    <row r="552" spans="1:19" ht="14.7" x14ac:dyDescent="0.65">
      <c r="A552" s="34">
        <v>551</v>
      </c>
      <c r="B552" s="3" t="s">
        <v>1716</v>
      </c>
      <c r="C552" s="1" t="s">
        <v>1717</v>
      </c>
      <c r="D552" s="1">
        <v>36</v>
      </c>
      <c r="E552" t="s">
        <v>1718</v>
      </c>
      <c r="F552" s="3">
        <v>1</v>
      </c>
      <c r="G552" s="33">
        <v>32874</v>
      </c>
      <c r="H552" s="33">
        <v>32874</v>
      </c>
      <c r="I552" s="1"/>
      <c r="J552" s="1"/>
      <c r="K552" s="1"/>
      <c r="L552" s="1"/>
      <c r="M552" s="1"/>
      <c r="P552" s="3"/>
      <c r="R552" s="1"/>
      <c r="S552" s="1"/>
    </row>
    <row r="553" spans="1:19" ht="14.7" x14ac:dyDescent="0.65">
      <c r="A553" s="34">
        <v>552</v>
      </c>
      <c r="B553" s="3" t="s">
        <v>1719</v>
      </c>
      <c r="C553" s="1" t="s">
        <v>1720</v>
      </c>
      <c r="D553" s="1">
        <v>36</v>
      </c>
      <c r="E553" t="s">
        <v>1721</v>
      </c>
      <c r="F553" s="3">
        <v>1</v>
      </c>
      <c r="G553" s="33">
        <v>32874</v>
      </c>
      <c r="H553" s="33">
        <v>32874</v>
      </c>
      <c r="I553" s="1"/>
      <c r="J553" s="1"/>
      <c r="K553" s="1"/>
      <c r="L553" s="1"/>
      <c r="M553" s="1"/>
      <c r="P553" s="3"/>
      <c r="R553" s="1"/>
      <c r="S553" s="1"/>
    </row>
    <row r="554" spans="1:19" ht="14.7" x14ac:dyDescent="0.65">
      <c r="A554" s="34">
        <v>553</v>
      </c>
      <c r="B554" s="3" t="s">
        <v>1722</v>
      </c>
      <c r="C554" s="1" t="s">
        <v>1723</v>
      </c>
      <c r="D554" s="1">
        <v>36</v>
      </c>
      <c r="E554" t="s">
        <v>1724</v>
      </c>
      <c r="F554" s="3">
        <v>1</v>
      </c>
      <c r="G554" s="33">
        <v>32874</v>
      </c>
      <c r="H554" s="33">
        <v>32874</v>
      </c>
      <c r="I554" s="1"/>
      <c r="J554" s="1"/>
      <c r="K554" s="1"/>
      <c r="L554" s="1"/>
      <c r="M554" s="1"/>
      <c r="P554" s="3"/>
      <c r="R554" s="1"/>
      <c r="S554" s="1"/>
    </row>
    <row r="555" spans="1:19" ht="14.7" x14ac:dyDescent="0.65">
      <c r="A555" s="34">
        <v>554</v>
      </c>
      <c r="B555" s="3" t="s">
        <v>1725</v>
      </c>
      <c r="C555" s="1" t="s">
        <v>1726</v>
      </c>
      <c r="D555" s="1">
        <v>37</v>
      </c>
      <c r="E555" t="s">
        <v>1727</v>
      </c>
      <c r="F555" s="3">
        <v>1</v>
      </c>
      <c r="G555" s="33">
        <v>32874</v>
      </c>
      <c r="H555" s="33">
        <v>32874</v>
      </c>
      <c r="I555" s="1"/>
      <c r="J555" s="1"/>
      <c r="K555" s="1"/>
      <c r="L555" s="1"/>
      <c r="M555" s="1"/>
      <c r="P555" s="3"/>
      <c r="R555" s="1"/>
      <c r="S555" s="1"/>
    </row>
    <row r="556" spans="1:19" ht="14.7" x14ac:dyDescent="0.65">
      <c r="A556" s="34">
        <v>555</v>
      </c>
      <c r="B556" s="3" t="s">
        <v>1728</v>
      </c>
      <c r="C556" s="1" t="s">
        <v>1729</v>
      </c>
      <c r="D556" s="1">
        <v>37</v>
      </c>
      <c r="E556" t="s">
        <v>1730</v>
      </c>
      <c r="F556" s="3">
        <v>1</v>
      </c>
      <c r="G556" s="33">
        <v>32874</v>
      </c>
      <c r="H556" s="33">
        <v>32874</v>
      </c>
      <c r="I556" s="1"/>
      <c r="J556" s="1"/>
      <c r="K556" s="1"/>
      <c r="L556" s="1"/>
      <c r="M556" s="1"/>
      <c r="P556" s="3"/>
      <c r="R556" s="1"/>
      <c r="S556" s="1"/>
    </row>
    <row r="557" spans="1:19" ht="14.7" x14ac:dyDescent="0.65">
      <c r="A557" s="34">
        <v>556</v>
      </c>
      <c r="B557" s="3" t="s">
        <v>1731</v>
      </c>
      <c r="C557" s="1" t="s">
        <v>1732</v>
      </c>
      <c r="D557" s="1">
        <v>37</v>
      </c>
      <c r="E557" t="s">
        <v>1733</v>
      </c>
      <c r="F557" s="3">
        <v>1</v>
      </c>
      <c r="G557" s="33">
        <v>32874</v>
      </c>
      <c r="H557" s="33">
        <v>32874</v>
      </c>
      <c r="I557" s="1"/>
      <c r="J557" s="1"/>
      <c r="K557" s="1"/>
      <c r="L557" s="1"/>
      <c r="M557" s="1"/>
      <c r="P557" s="3"/>
      <c r="R557" s="1"/>
      <c r="S557" s="1"/>
    </row>
    <row r="558" spans="1:19" ht="14.7" x14ac:dyDescent="0.65">
      <c r="A558" s="34">
        <v>557</v>
      </c>
      <c r="B558" s="3" t="s">
        <v>1734</v>
      </c>
      <c r="C558" s="1" t="s">
        <v>1735</v>
      </c>
      <c r="D558" s="1">
        <v>37</v>
      </c>
      <c r="E558" t="s">
        <v>1736</v>
      </c>
      <c r="F558" s="3">
        <v>1</v>
      </c>
      <c r="G558" s="33">
        <v>32874</v>
      </c>
      <c r="H558" s="33">
        <v>32874</v>
      </c>
      <c r="I558" s="1"/>
      <c r="J558" s="1"/>
      <c r="K558" s="1"/>
      <c r="L558" s="1"/>
      <c r="M558" s="1"/>
      <c r="P558" s="3"/>
      <c r="R558" s="1"/>
      <c r="S558" s="1"/>
    </row>
    <row r="559" spans="1:19" ht="14.7" x14ac:dyDescent="0.65">
      <c r="A559" s="34">
        <v>558</v>
      </c>
      <c r="B559" s="3" t="s">
        <v>1737</v>
      </c>
      <c r="C559" s="1" t="s">
        <v>1738</v>
      </c>
      <c r="D559" s="1">
        <v>37</v>
      </c>
      <c r="E559" t="s">
        <v>1739</v>
      </c>
      <c r="F559" s="3">
        <v>1</v>
      </c>
      <c r="G559" s="33">
        <v>32874</v>
      </c>
      <c r="H559" s="33">
        <v>32874</v>
      </c>
      <c r="I559" s="1"/>
      <c r="J559" s="1"/>
      <c r="K559" s="1"/>
      <c r="L559" s="1"/>
      <c r="M559" s="1"/>
      <c r="P559" s="3"/>
      <c r="R559" s="1"/>
      <c r="S559" s="1"/>
    </row>
    <row r="560" spans="1:19" ht="14.7" x14ac:dyDescent="0.65">
      <c r="A560" s="34">
        <v>559</v>
      </c>
      <c r="B560" s="3" t="s">
        <v>1740</v>
      </c>
      <c r="C560" s="1" t="s">
        <v>1741</v>
      </c>
      <c r="D560" s="1">
        <v>37</v>
      </c>
      <c r="E560" t="s">
        <v>1742</v>
      </c>
      <c r="F560" s="3">
        <v>1</v>
      </c>
      <c r="G560" s="33">
        <v>32874</v>
      </c>
      <c r="H560" s="33">
        <v>32874</v>
      </c>
      <c r="I560" s="1"/>
      <c r="J560" s="1"/>
      <c r="K560" s="1"/>
      <c r="L560" s="1"/>
      <c r="M560" s="1"/>
      <c r="P560" s="3"/>
      <c r="R560" s="1"/>
      <c r="S560" s="1"/>
    </row>
    <row r="561" spans="1:19" ht="14.7" x14ac:dyDescent="0.65">
      <c r="A561" s="34">
        <v>560</v>
      </c>
      <c r="B561" s="3" t="s">
        <v>1743</v>
      </c>
      <c r="C561" s="1" t="s">
        <v>1744</v>
      </c>
      <c r="D561" s="1">
        <v>37</v>
      </c>
      <c r="E561" t="s">
        <v>1745</v>
      </c>
      <c r="F561" s="3">
        <v>1</v>
      </c>
      <c r="G561" s="33">
        <v>32874</v>
      </c>
      <c r="H561" s="33">
        <v>32874</v>
      </c>
      <c r="I561" s="1"/>
      <c r="J561" s="1"/>
      <c r="K561" s="1"/>
      <c r="L561" s="1"/>
      <c r="M561" s="1"/>
      <c r="P561" s="3"/>
      <c r="R561" s="1"/>
      <c r="S561" s="1"/>
    </row>
    <row r="562" spans="1:19" ht="14.7" x14ac:dyDescent="0.65">
      <c r="A562" s="34">
        <v>561</v>
      </c>
      <c r="B562" s="3" t="s">
        <v>1746</v>
      </c>
      <c r="C562" s="1" t="s">
        <v>1747</v>
      </c>
      <c r="D562" s="1">
        <v>37</v>
      </c>
      <c r="E562" t="s">
        <v>1748</v>
      </c>
      <c r="F562" s="3">
        <v>1</v>
      </c>
      <c r="G562" s="33">
        <v>32874</v>
      </c>
      <c r="H562" s="33">
        <v>32874</v>
      </c>
      <c r="I562" s="1"/>
      <c r="J562" s="1"/>
      <c r="K562" s="1"/>
      <c r="L562" s="1"/>
      <c r="M562" s="1"/>
      <c r="P562" s="3"/>
      <c r="R562" s="1"/>
      <c r="S562" s="1"/>
    </row>
    <row r="563" spans="1:19" ht="14.7" x14ac:dyDescent="0.65">
      <c r="A563" s="34">
        <v>562</v>
      </c>
      <c r="B563" s="3" t="s">
        <v>1749</v>
      </c>
      <c r="C563" s="1" t="s">
        <v>1750</v>
      </c>
      <c r="D563" s="1">
        <v>37</v>
      </c>
      <c r="E563" t="s">
        <v>1751</v>
      </c>
      <c r="F563" s="3">
        <v>1</v>
      </c>
      <c r="G563" s="33">
        <v>32874</v>
      </c>
      <c r="H563" s="33">
        <v>32874</v>
      </c>
      <c r="I563" s="1"/>
      <c r="J563" s="1"/>
      <c r="K563" s="1"/>
      <c r="L563" s="1"/>
      <c r="M563" s="1"/>
      <c r="P563" s="3"/>
      <c r="R563" s="1"/>
      <c r="S563" s="1"/>
    </row>
    <row r="564" spans="1:19" ht="14.7" x14ac:dyDescent="0.65">
      <c r="A564" s="34">
        <v>563</v>
      </c>
      <c r="B564" s="3" t="s">
        <v>1752</v>
      </c>
      <c r="C564" s="1" t="s">
        <v>1753</v>
      </c>
      <c r="D564" s="1">
        <v>37</v>
      </c>
      <c r="E564" t="s">
        <v>1754</v>
      </c>
      <c r="F564" s="3">
        <v>1</v>
      </c>
      <c r="G564" s="33">
        <v>32874</v>
      </c>
      <c r="H564" s="33">
        <v>32874</v>
      </c>
      <c r="I564" s="1"/>
      <c r="J564" s="1"/>
      <c r="K564" s="1"/>
      <c r="L564" s="1"/>
      <c r="M564" s="1"/>
      <c r="P564" s="3"/>
      <c r="R564" s="1"/>
      <c r="S564" s="1"/>
    </row>
    <row r="565" spans="1:19" ht="14.7" x14ac:dyDescent="0.65">
      <c r="A565" s="34">
        <v>564</v>
      </c>
      <c r="B565" s="3" t="s">
        <v>1755</v>
      </c>
      <c r="C565" s="1" t="s">
        <v>1756</v>
      </c>
      <c r="D565" s="1">
        <v>37</v>
      </c>
      <c r="E565" t="s">
        <v>1757</v>
      </c>
      <c r="F565" s="3">
        <v>1</v>
      </c>
      <c r="G565" s="33">
        <v>32874</v>
      </c>
      <c r="H565" s="33">
        <v>32874</v>
      </c>
      <c r="I565" s="1"/>
      <c r="J565" s="1"/>
      <c r="K565" s="1"/>
      <c r="L565" s="1"/>
      <c r="M565" s="1"/>
      <c r="P565" s="3"/>
      <c r="R565" s="1"/>
      <c r="S565" s="1"/>
    </row>
    <row r="566" spans="1:19" ht="14.7" x14ac:dyDescent="0.65">
      <c r="A566" s="34">
        <v>565</v>
      </c>
      <c r="B566" s="3" t="s">
        <v>1758</v>
      </c>
      <c r="C566" s="1" t="s">
        <v>1759</v>
      </c>
      <c r="D566" s="1">
        <v>37</v>
      </c>
      <c r="E566" t="s">
        <v>1760</v>
      </c>
      <c r="F566" s="3">
        <v>1</v>
      </c>
      <c r="G566" s="33">
        <v>32874</v>
      </c>
      <c r="H566" s="33">
        <v>32874</v>
      </c>
      <c r="I566" s="1"/>
      <c r="J566" s="1"/>
      <c r="K566" s="1"/>
      <c r="L566" s="1"/>
      <c r="M566" s="1"/>
      <c r="P566" s="3"/>
      <c r="R566" s="1"/>
      <c r="S566" s="1"/>
    </row>
    <row r="567" spans="1:19" ht="14.7" x14ac:dyDescent="0.65">
      <c r="A567" s="34">
        <v>566</v>
      </c>
      <c r="B567" s="3" t="s">
        <v>1761</v>
      </c>
      <c r="C567" s="1" t="s">
        <v>1762</v>
      </c>
      <c r="D567" s="1">
        <v>37</v>
      </c>
      <c r="E567" t="s">
        <v>1763</v>
      </c>
      <c r="F567" s="3">
        <v>1</v>
      </c>
      <c r="G567" s="33">
        <v>32874</v>
      </c>
      <c r="H567" s="33">
        <v>32874</v>
      </c>
      <c r="I567" s="1"/>
      <c r="J567" s="1"/>
      <c r="K567" s="1"/>
      <c r="L567" s="1"/>
      <c r="M567" s="1"/>
      <c r="P567" s="3"/>
      <c r="R567" s="1"/>
      <c r="S567" s="1"/>
    </row>
    <row r="568" spans="1:19" ht="14.7" x14ac:dyDescent="0.65">
      <c r="A568" s="34">
        <v>567</v>
      </c>
      <c r="B568" s="3" t="s">
        <v>1764</v>
      </c>
      <c r="C568" s="1" t="s">
        <v>1765</v>
      </c>
      <c r="D568" s="1">
        <v>37</v>
      </c>
      <c r="E568" t="s">
        <v>1766</v>
      </c>
      <c r="F568" s="3">
        <v>1</v>
      </c>
      <c r="G568" s="33">
        <v>32874</v>
      </c>
      <c r="H568" s="33">
        <v>32874</v>
      </c>
      <c r="I568" s="1"/>
      <c r="J568" s="1"/>
      <c r="K568" s="1"/>
      <c r="L568" s="1"/>
      <c r="M568" s="1"/>
      <c r="P568" s="3"/>
      <c r="R568" s="1"/>
      <c r="S568" s="1"/>
    </row>
    <row r="569" spans="1:19" ht="14.7" x14ac:dyDescent="0.65">
      <c r="A569" s="34">
        <v>568</v>
      </c>
      <c r="B569" s="3" t="s">
        <v>1767</v>
      </c>
      <c r="C569" s="1" t="s">
        <v>1768</v>
      </c>
      <c r="D569" s="1">
        <v>37</v>
      </c>
      <c r="E569" s="8" t="s">
        <v>1769</v>
      </c>
      <c r="F569" s="3">
        <v>1</v>
      </c>
      <c r="G569" s="33">
        <v>32874</v>
      </c>
      <c r="H569" s="33">
        <v>32874</v>
      </c>
      <c r="I569" s="1"/>
      <c r="J569" s="1"/>
      <c r="K569" s="1"/>
      <c r="L569" s="1"/>
      <c r="M569" s="1"/>
      <c r="P569" s="3"/>
      <c r="R569" s="1"/>
      <c r="S569" s="1"/>
    </row>
    <row r="570" spans="1:19" ht="14.7" x14ac:dyDescent="0.65">
      <c r="A570" s="34">
        <v>569</v>
      </c>
      <c r="B570" s="3" t="s">
        <v>1770</v>
      </c>
      <c r="C570" s="1" t="s">
        <v>1771</v>
      </c>
      <c r="D570" s="1">
        <v>37</v>
      </c>
      <c r="E570" s="8" t="s">
        <v>1772</v>
      </c>
      <c r="F570" s="3">
        <v>1</v>
      </c>
      <c r="G570" s="33">
        <v>32874</v>
      </c>
      <c r="H570" s="33">
        <v>32874</v>
      </c>
      <c r="I570" s="1"/>
      <c r="J570" s="1"/>
      <c r="K570" s="1"/>
      <c r="L570" s="1"/>
      <c r="M570" s="1"/>
      <c r="P570" s="3"/>
      <c r="R570" s="1"/>
      <c r="S570" s="1"/>
    </row>
    <row r="571" spans="1:19" ht="14.7" x14ac:dyDescent="0.65">
      <c r="A571" s="34">
        <v>570</v>
      </c>
      <c r="B571" s="3" t="s">
        <v>1773</v>
      </c>
      <c r="C571" s="1" t="s">
        <v>1774</v>
      </c>
      <c r="D571" s="1">
        <v>38</v>
      </c>
      <c r="E571" s="8" t="s">
        <v>1775</v>
      </c>
      <c r="F571" s="3">
        <v>1</v>
      </c>
      <c r="G571" s="33">
        <v>32874</v>
      </c>
      <c r="H571" s="33">
        <v>32874</v>
      </c>
      <c r="I571" s="1"/>
      <c r="J571" s="1"/>
      <c r="K571" s="1"/>
      <c r="L571" s="1"/>
      <c r="M571" s="1"/>
      <c r="P571" s="3"/>
      <c r="R571" s="1"/>
      <c r="S571" s="1"/>
    </row>
    <row r="572" spans="1:19" x14ac:dyDescent="0.65">
      <c r="A572" s="34">
        <v>571</v>
      </c>
      <c r="B572" s="3" t="s">
        <v>1779</v>
      </c>
      <c r="C572" s="1" t="s">
        <v>1780</v>
      </c>
      <c r="D572" s="1">
        <v>38</v>
      </c>
      <c r="E572" s="2" t="s">
        <v>1781</v>
      </c>
      <c r="F572" s="3">
        <v>1</v>
      </c>
      <c r="G572" s="33">
        <v>32874</v>
      </c>
      <c r="H572" s="33">
        <v>32874</v>
      </c>
      <c r="I572" s="1"/>
      <c r="J572" s="1"/>
      <c r="K572" s="1"/>
      <c r="L572" s="1"/>
      <c r="M572" s="1"/>
      <c r="P572" s="3"/>
      <c r="R572" s="1"/>
      <c r="S572" s="1"/>
    </row>
    <row r="573" spans="1:19" x14ac:dyDescent="0.65">
      <c r="A573" s="34">
        <v>572</v>
      </c>
      <c r="B573" s="3" t="s">
        <v>1782</v>
      </c>
      <c r="C573" s="1" t="s">
        <v>1783</v>
      </c>
      <c r="D573" s="1">
        <v>38</v>
      </c>
      <c r="E573" s="2" t="s">
        <v>1784</v>
      </c>
      <c r="F573" s="3">
        <v>1</v>
      </c>
      <c r="G573" s="33">
        <v>32874</v>
      </c>
      <c r="H573" s="33">
        <v>32874</v>
      </c>
      <c r="I573" s="1"/>
      <c r="J573" s="1"/>
      <c r="K573" s="1"/>
      <c r="L573" s="1"/>
      <c r="M573" s="1"/>
      <c r="P573" s="3"/>
      <c r="R573" s="1"/>
      <c r="S573" s="1"/>
    </row>
    <row r="574" spans="1:19" x14ac:dyDescent="0.65">
      <c r="A574" s="34">
        <v>573</v>
      </c>
      <c r="B574" s="3" t="s">
        <v>1785</v>
      </c>
      <c r="C574" s="1" t="s">
        <v>1786</v>
      </c>
      <c r="D574" s="1">
        <v>38</v>
      </c>
      <c r="E574" s="2" t="s">
        <v>1787</v>
      </c>
      <c r="F574" s="3">
        <v>1</v>
      </c>
      <c r="G574" s="33">
        <v>32874</v>
      </c>
      <c r="H574" s="33">
        <v>32874</v>
      </c>
      <c r="I574" s="1"/>
      <c r="J574" s="1"/>
      <c r="K574" s="1"/>
      <c r="L574" s="1"/>
      <c r="M574" s="1"/>
      <c r="P574" s="3"/>
      <c r="R574" s="1"/>
      <c r="S574" s="1"/>
    </row>
    <row r="575" spans="1:19" x14ac:dyDescent="0.65">
      <c r="A575" s="34">
        <v>574</v>
      </c>
      <c r="B575" s="3" t="s">
        <v>1788</v>
      </c>
      <c r="C575" s="1" t="s">
        <v>1789</v>
      </c>
      <c r="D575" s="1">
        <v>38</v>
      </c>
      <c r="E575" s="2" t="s">
        <v>1790</v>
      </c>
      <c r="F575" s="3">
        <v>1</v>
      </c>
      <c r="G575" s="33">
        <v>32874</v>
      </c>
      <c r="H575" s="33">
        <v>32874</v>
      </c>
      <c r="I575" s="1"/>
      <c r="J575" s="1"/>
      <c r="K575" s="1"/>
      <c r="L575" s="1"/>
      <c r="M575" s="1"/>
      <c r="P575" s="3"/>
      <c r="R575" s="1"/>
      <c r="S575" s="1"/>
    </row>
    <row r="576" spans="1:19" x14ac:dyDescent="0.65">
      <c r="A576" s="34">
        <v>575</v>
      </c>
      <c r="B576" s="3" t="s">
        <v>1791</v>
      </c>
      <c r="C576" s="1" t="s">
        <v>1792</v>
      </c>
      <c r="D576" s="1">
        <v>38</v>
      </c>
      <c r="E576" s="2" t="s">
        <v>1793</v>
      </c>
      <c r="F576" s="3">
        <v>1</v>
      </c>
      <c r="G576" s="33">
        <v>32874</v>
      </c>
      <c r="H576" s="33">
        <v>32874</v>
      </c>
      <c r="I576" s="1"/>
      <c r="J576" s="1"/>
      <c r="K576" s="1"/>
      <c r="L576" s="1"/>
      <c r="M576" s="1"/>
      <c r="P576" s="3"/>
      <c r="R576" s="1"/>
      <c r="S576" s="1"/>
    </row>
    <row r="577" spans="1:19" x14ac:dyDescent="0.65">
      <c r="A577" s="34">
        <v>576</v>
      </c>
      <c r="B577" s="3" t="s">
        <v>1794</v>
      </c>
      <c r="C577" s="1" t="s">
        <v>1795</v>
      </c>
      <c r="D577" s="1">
        <v>38</v>
      </c>
      <c r="E577" s="2" t="s">
        <v>1796</v>
      </c>
      <c r="F577" s="3">
        <v>1</v>
      </c>
      <c r="G577" s="33">
        <v>32874</v>
      </c>
      <c r="H577" s="33">
        <v>32874</v>
      </c>
      <c r="I577" s="1"/>
      <c r="J577" s="1"/>
      <c r="K577" s="1"/>
      <c r="L577" s="1"/>
      <c r="M577" s="1"/>
      <c r="P577" s="3"/>
      <c r="R577" s="1"/>
      <c r="S577" s="1"/>
    </row>
    <row r="578" spans="1:19" x14ac:dyDescent="0.65">
      <c r="A578" s="34">
        <v>577</v>
      </c>
      <c r="B578" s="3" t="s">
        <v>1797</v>
      </c>
      <c r="C578" s="1" t="s">
        <v>1798</v>
      </c>
      <c r="D578" s="1">
        <v>39</v>
      </c>
      <c r="E578" s="2" t="s">
        <v>1799</v>
      </c>
      <c r="F578" s="3">
        <v>1</v>
      </c>
      <c r="G578" s="33">
        <v>32874</v>
      </c>
      <c r="H578" s="33">
        <v>32874</v>
      </c>
      <c r="I578" s="1"/>
      <c r="J578" s="1"/>
      <c r="K578" s="1"/>
      <c r="L578" s="1"/>
      <c r="M578" s="1"/>
      <c r="P578" s="3"/>
      <c r="R578" s="1"/>
      <c r="S578" s="1"/>
    </row>
    <row r="579" spans="1:19" x14ac:dyDescent="0.65">
      <c r="A579" s="34">
        <v>578</v>
      </c>
      <c r="B579" s="3" t="s">
        <v>1801</v>
      </c>
      <c r="C579" s="1" t="s">
        <v>1802</v>
      </c>
      <c r="D579" s="1">
        <v>39</v>
      </c>
      <c r="E579" s="2" t="s">
        <v>1803</v>
      </c>
      <c r="F579" s="3">
        <v>1</v>
      </c>
      <c r="G579" s="33">
        <v>32874</v>
      </c>
      <c r="H579" s="33">
        <v>32874</v>
      </c>
      <c r="I579" s="1"/>
      <c r="J579" s="1"/>
      <c r="K579" s="1"/>
      <c r="L579" s="1"/>
      <c r="M579" s="1"/>
      <c r="P579" s="3"/>
      <c r="R579" s="1"/>
      <c r="S579" s="1"/>
    </row>
    <row r="580" spans="1:19" x14ac:dyDescent="0.65">
      <c r="A580" s="34">
        <v>579</v>
      </c>
      <c r="B580" s="3" t="s">
        <v>1804</v>
      </c>
      <c r="C580" s="1" t="s">
        <v>1805</v>
      </c>
      <c r="D580" s="1">
        <v>39</v>
      </c>
      <c r="E580" s="2" t="s">
        <v>1806</v>
      </c>
      <c r="F580" s="3">
        <v>1</v>
      </c>
      <c r="G580" s="33">
        <v>32874</v>
      </c>
      <c r="H580" s="33">
        <v>32874</v>
      </c>
      <c r="I580" s="1"/>
      <c r="J580" s="1"/>
      <c r="K580" s="1"/>
      <c r="L580" s="1"/>
      <c r="M580" s="1"/>
      <c r="P580" s="3"/>
      <c r="R580" s="1"/>
      <c r="S580" s="1"/>
    </row>
    <row r="581" spans="1:19" x14ac:dyDescent="0.65">
      <c r="A581" s="34">
        <v>580</v>
      </c>
      <c r="B581" s="3" t="s">
        <v>1807</v>
      </c>
      <c r="C581" s="1" t="s">
        <v>1808</v>
      </c>
      <c r="D581" s="1">
        <v>39</v>
      </c>
      <c r="E581" s="2" t="s">
        <v>1809</v>
      </c>
      <c r="F581" s="3">
        <v>1</v>
      </c>
      <c r="G581" s="33">
        <v>32874</v>
      </c>
      <c r="H581" s="33">
        <v>32874</v>
      </c>
      <c r="I581" s="1"/>
      <c r="J581" s="1"/>
      <c r="K581" s="1"/>
      <c r="L581" s="1"/>
      <c r="M581" s="1"/>
      <c r="P581" s="3"/>
      <c r="R581" s="1"/>
      <c r="S581" s="1"/>
    </row>
    <row r="582" spans="1:19" x14ac:dyDescent="0.65">
      <c r="A582" s="34">
        <v>581</v>
      </c>
      <c r="B582" s="3" t="s">
        <v>1810</v>
      </c>
      <c r="C582" s="1" t="s">
        <v>1811</v>
      </c>
      <c r="D582" s="1">
        <v>39</v>
      </c>
      <c r="E582" s="2" t="s">
        <v>1812</v>
      </c>
      <c r="F582" s="3">
        <v>1</v>
      </c>
      <c r="G582" s="33">
        <v>32874</v>
      </c>
      <c r="H582" s="33">
        <v>32874</v>
      </c>
      <c r="I582" s="1"/>
      <c r="J582" s="1"/>
      <c r="K582" s="1"/>
      <c r="L582" s="1"/>
      <c r="M582" s="1"/>
      <c r="P582" s="3"/>
      <c r="R582" s="1"/>
      <c r="S582" s="1"/>
    </row>
    <row r="583" spans="1:19" x14ac:dyDescent="0.65">
      <c r="A583" s="34">
        <v>582</v>
      </c>
      <c r="B583" s="3" t="s">
        <v>1813</v>
      </c>
      <c r="C583" s="1" t="s">
        <v>1814</v>
      </c>
      <c r="D583" s="1">
        <v>39</v>
      </c>
      <c r="E583" s="9" t="s">
        <v>1815</v>
      </c>
      <c r="F583" s="3">
        <v>1</v>
      </c>
      <c r="G583" s="33">
        <v>32874</v>
      </c>
      <c r="H583" s="33">
        <v>32874</v>
      </c>
      <c r="I583" s="1"/>
      <c r="J583" s="1"/>
      <c r="K583" s="1"/>
      <c r="L583" s="1"/>
      <c r="M583" s="1"/>
      <c r="P583" s="3"/>
      <c r="R583" s="1"/>
      <c r="S583" s="1"/>
    </row>
    <row r="584" spans="1:19" x14ac:dyDescent="0.65">
      <c r="A584" s="34">
        <v>583</v>
      </c>
      <c r="B584" s="3" t="s">
        <v>1816</v>
      </c>
      <c r="C584" s="1" t="s">
        <v>1817</v>
      </c>
      <c r="D584" s="1">
        <v>39</v>
      </c>
      <c r="E584" s="9" t="s">
        <v>1818</v>
      </c>
      <c r="F584" s="3">
        <v>1</v>
      </c>
      <c r="G584" s="33">
        <v>32874</v>
      </c>
      <c r="H584" s="33">
        <v>32874</v>
      </c>
      <c r="I584" s="1"/>
      <c r="J584" s="1"/>
      <c r="K584" s="1"/>
      <c r="L584" s="1"/>
      <c r="M584" s="1"/>
      <c r="P584" s="3"/>
      <c r="R584" s="1"/>
      <c r="S584" s="1"/>
    </row>
    <row r="585" spans="1:19" x14ac:dyDescent="0.65">
      <c r="A585" s="34">
        <v>584</v>
      </c>
      <c r="B585" s="3" t="s">
        <v>1819</v>
      </c>
      <c r="C585" s="1" t="s">
        <v>1820</v>
      </c>
      <c r="D585" s="1">
        <v>39</v>
      </c>
      <c r="E585" s="9" t="s">
        <v>1821</v>
      </c>
      <c r="F585" s="3">
        <v>1</v>
      </c>
      <c r="G585" s="33">
        <v>32874</v>
      </c>
      <c r="H585" s="33">
        <v>32874</v>
      </c>
      <c r="I585" s="1"/>
      <c r="J585" s="1"/>
      <c r="K585" s="1"/>
      <c r="L585" s="1"/>
      <c r="M585" s="1"/>
      <c r="P585" s="3"/>
      <c r="R585" s="1"/>
      <c r="S585" s="1"/>
    </row>
    <row r="586" spans="1:19" x14ac:dyDescent="0.65">
      <c r="A586" s="34">
        <v>585</v>
      </c>
      <c r="B586" s="3" t="s">
        <v>1822</v>
      </c>
      <c r="C586" s="1" t="s">
        <v>1823</v>
      </c>
      <c r="D586" s="1">
        <v>39</v>
      </c>
      <c r="E586" s="9" t="s">
        <v>1824</v>
      </c>
      <c r="F586" s="3">
        <v>1</v>
      </c>
      <c r="G586" s="33">
        <v>32874</v>
      </c>
      <c r="H586" s="33">
        <v>32874</v>
      </c>
      <c r="I586" s="1"/>
      <c r="J586" s="1"/>
      <c r="K586" s="1"/>
      <c r="L586" s="1"/>
      <c r="M586" s="1"/>
      <c r="P586" s="3"/>
      <c r="R586" s="1"/>
      <c r="S586" s="1"/>
    </row>
    <row r="587" spans="1:19" x14ac:dyDescent="0.65">
      <c r="A587" s="34">
        <v>586</v>
      </c>
      <c r="B587" s="3" t="s">
        <v>1825</v>
      </c>
      <c r="C587" s="1" t="s">
        <v>1826</v>
      </c>
      <c r="D587" s="1">
        <v>39</v>
      </c>
      <c r="E587" s="2" t="s">
        <v>1827</v>
      </c>
      <c r="F587" s="3">
        <v>1</v>
      </c>
      <c r="G587" s="33">
        <v>32874</v>
      </c>
      <c r="H587" s="33">
        <v>32874</v>
      </c>
      <c r="I587" s="1"/>
      <c r="J587" s="1"/>
      <c r="K587" s="1"/>
      <c r="L587" s="1"/>
      <c r="M587" s="1"/>
      <c r="P587" s="3"/>
      <c r="R587" s="1"/>
      <c r="S587" s="1"/>
    </row>
    <row r="588" spans="1:19" x14ac:dyDescent="0.65">
      <c r="A588" s="34">
        <v>587</v>
      </c>
      <c r="B588" s="3" t="s">
        <v>1828</v>
      </c>
      <c r="C588" s="1" t="s">
        <v>1829</v>
      </c>
      <c r="D588" s="1">
        <v>39</v>
      </c>
      <c r="E588" s="2" t="s">
        <v>1830</v>
      </c>
      <c r="F588" s="3">
        <v>1</v>
      </c>
      <c r="G588" s="33">
        <v>32874</v>
      </c>
      <c r="H588" s="33">
        <v>32874</v>
      </c>
      <c r="I588" s="1"/>
      <c r="J588" s="1"/>
      <c r="K588" s="1"/>
      <c r="L588" s="1"/>
      <c r="M588" s="1"/>
      <c r="P588" s="3"/>
      <c r="R588" s="1"/>
      <c r="S588" s="1"/>
    </row>
    <row r="589" spans="1:19" x14ac:dyDescent="0.65">
      <c r="A589" s="34">
        <v>588</v>
      </c>
      <c r="B589" s="3" t="s">
        <v>1831</v>
      </c>
      <c r="C589" s="1" t="s">
        <v>1832</v>
      </c>
      <c r="D589" s="1">
        <v>39</v>
      </c>
      <c r="E589" s="9" t="s">
        <v>1833</v>
      </c>
      <c r="F589" s="3">
        <v>1</v>
      </c>
      <c r="G589" s="33">
        <v>32874</v>
      </c>
      <c r="H589" s="33">
        <v>32874</v>
      </c>
      <c r="I589" s="1"/>
      <c r="J589" s="1"/>
      <c r="K589" s="1"/>
      <c r="L589" s="1"/>
      <c r="M589" s="1"/>
      <c r="P589" s="3"/>
      <c r="R589" s="1"/>
      <c r="S589" s="1"/>
    </row>
    <row r="590" spans="1:19" x14ac:dyDescent="0.65">
      <c r="A590" s="34">
        <v>589</v>
      </c>
      <c r="B590" s="3" t="s">
        <v>1834</v>
      </c>
      <c r="C590" s="1" t="s">
        <v>1835</v>
      </c>
      <c r="D590" s="1">
        <v>40</v>
      </c>
      <c r="E590" s="9" t="s">
        <v>1836</v>
      </c>
      <c r="F590" s="3">
        <v>1</v>
      </c>
      <c r="G590" s="33">
        <v>32874</v>
      </c>
      <c r="H590" s="33">
        <v>32874</v>
      </c>
      <c r="I590" s="1"/>
      <c r="J590" s="1"/>
      <c r="K590" s="1"/>
      <c r="L590" s="1"/>
      <c r="M590" s="1"/>
      <c r="P590" s="3"/>
      <c r="R590" s="1"/>
      <c r="S590" s="1"/>
    </row>
    <row r="591" spans="1:19" x14ac:dyDescent="0.65">
      <c r="A591" s="34">
        <v>590</v>
      </c>
      <c r="B591" s="3" t="s">
        <v>1837</v>
      </c>
      <c r="C591" s="1" t="s">
        <v>1838</v>
      </c>
      <c r="D591" s="1">
        <v>40</v>
      </c>
      <c r="E591" s="9" t="s">
        <v>1839</v>
      </c>
      <c r="F591" s="3">
        <v>1</v>
      </c>
      <c r="G591" s="33">
        <v>32874</v>
      </c>
      <c r="H591" s="33">
        <v>32874</v>
      </c>
      <c r="I591" s="1"/>
      <c r="J591" s="1"/>
      <c r="K591" s="1"/>
      <c r="L591" s="1"/>
      <c r="M591" s="1"/>
      <c r="P591" s="3"/>
      <c r="R591" s="1"/>
      <c r="S591" s="1"/>
    </row>
    <row r="592" spans="1:19" x14ac:dyDescent="0.65">
      <c r="A592" s="34">
        <v>591</v>
      </c>
      <c r="B592" s="3" t="s">
        <v>1840</v>
      </c>
      <c r="C592" s="1" t="s">
        <v>1841</v>
      </c>
      <c r="D592" s="1">
        <v>40</v>
      </c>
      <c r="E592" s="9" t="s">
        <v>1842</v>
      </c>
      <c r="F592" s="3">
        <v>1</v>
      </c>
      <c r="G592" s="33">
        <v>32874</v>
      </c>
      <c r="H592" s="33">
        <v>32874</v>
      </c>
      <c r="I592" s="1"/>
      <c r="J592" s="1"/>
      <c r="K592" s="1"/>
      <c r="L592" s="1"/>
      <c r="M592" s="1"/>
      <c r="P592" s="3"/>
      <c r="R592" s="1"/>
      <c r="S592" s="1"/>
    </row>
    <row r="593" spans="1:19" x14ac:dyDescent="0.65">
      <c r="A593" s="34">
        <v>592</v>
      </c>
      <c r="B593" s="3" t="s">
        <v>1843</v>
      </c>
      <c r="C593" s="1" t="s">
        <v>1844</v>
      </c>
      <c r="D593" s="1">
        <v>40</v>
      </c>
      <c r="E593" s="9" t="s">
        <v>1845</v>
      </c>
      <c r="F593" s="3">
        <v>1</v>
      </c>
      <c r="G593" s="33">
        <v>32874</v>
      </c>
      <c r="H593" s="33">
        <v>32874</v>
      </c>
      <c r="I593" s="1"/>
      <c r="J593" s="1"/>
      <c r="K593" s="1"/>
      <c r="L593" s="1"/>
      <c r="M593" s="1"/>
      <c r="P593" s="3"/>
      <c r="R593" s="1"/>
      <c r="S593" s="1"/>
    </row>
    <row r="594" spans="1:19" x14ac:dyDescent="0.65">
      <c r="A594" s="34">
        <v>593</v>
      </c>
      <c r="B594" s="4" t="s">
        <v>1846</v>
      </c>
      <c r="C594" s="1" t="s">
        <v>1847</v>
      </c>
      <c r="D594" s="1">
        <v>41</v>
      </c>
      <c r="E594" s="10" t="s">
        <v>1848</v>
      </c>
      <c r="F594" s="3">
        <v>1</v>
      </c>
      <c r="G594" s="33">
        <v>32874</v>
      </c>
      <c r="H594" s="33">
        <v>32874</v>
      </c>
      <c r="I594" s="1"/>
      <c r="J594" s="1"/>
      <c r="K594" s="1"/>
      <c r="L594" s="1"/>
      <c r="M594" s="1"/>
      <c r="P594" s="3"/>
      <c r="R594" s="1"/>
      <c r="S594" s="1"/>
    </row>
    <row r="595" spans="1:19" x14ac:dyDescent="0.65">
      <c r="A595" s="34">
        <v>594</v>
      </c>
      <c r="B595" s="4" t="s">
        <v>1850</v>
      </c>
      <c r="C595" s="1" t="s">
        <v>1851</v>
      </c>
      <c r="D595" s="1">
        <v>41</v>
      </c>
      <c r="E595" s="10" t="s">
        <v>1852</v>
      </c>
      <c r="F595" s="3">
        <v>1</v>
      </c>
      <c r="G595" s="33">
        <v>32874</v>
      </c>
      <c r="H595" s="33">
        <v>32874</v>
      </c>
      <c r="I595" s="1"/>
      <c r="J595" s="1"/>
      <c r="K595" s="1"/>
      <c r="L595" s="1"/>
      <c r="M595" s="1"/>
      <c r="P595" s="3"/>
      <c r="R595" s="1"/>
      <c r="S595" s="1"/>
    </row>
    <row r="596" spans="1:19" x14ac:dyDescent="0.65">
      <c r="A596" s="34">
        <v>595</v>
      </c>
      <c r="B596" s="4" t="s">
        <v>1853</v>
      </c>
      <c r="C596" s="1" t="s">
        <v>1854</v>
      </c>
      <c r="D596" s="1">
        <v>41</v>
      </c>
      <c r="E596" s="10" t="s">
        <v>1855</v>
      </c>
      <c r="F596" s="3">
        <v>1</v>
      </c>
      <c r="G596" s="33">
        <v>32874</v>
      </c>
      <c r="H596" s="33">
        <v>32874</v>
      </c>
      <c r="I596" s="1"/>
      <c r="J596" s="1"/>
      <c r="K596" s="1"/>
      <c r="L596" s="1"/>
      <c r="M596" s="1"/>
      <c r="P596" s="3"/>
      <c r="R596" s="1"/>
      <c r="S596" s="1"/>
    </row>
    <row r="597" spans="1:19" x14ac:dyDescent="0.65">
      <c r="A597" s="34">
        <v>596</v>
      </c>
      <c r="B597" s="4" t="s">
        <v>1856</v>
      </c>
      <c r="C597" s="1" t="s">
        <v>1857</v>
      </c>
      <c r="D597" s="1">
        <v>41</v>
      </c>
      <c r="E597" s="10" t="s">
        <v>1858</v>
      </c>
      <c r="F597" s="3">
        <v>1</v>
      </c>
      <c r="G597" s="33">
        <v>32874</v>
      </c>
      <c r="H597" s="33">
        <v>32874</v>
      </c>
      <c r="I597" s="1"/>
      <c r="J597" s="1"/>
      <c r="K597" s="1"/>
      <c r="L597" s="1"/>
      <c r="M597" s="1"/>
      <c r="P597" s="3"/>
      <c r="R597" s="1"/>
      <c r="S597" s="1"/>
    </row>
    <row r="598" spans="1:19" x14ac:dyDescent="0.65">
      <c r="A598" s="34">
        <v>597</v>
      </c>
      <c r="B598" s="4" t="s">
        <v>1859</v>
      </c>
      <c r="C598" s="1" t="s">
        <v>1860</v>
      </c>
      <c r="D598" s="1">
        <v>41</v>
      </c>
      <c r="E598" s="10" t="s">
        <v>1861</v>
      </c>
      <c r="F598" s="3">
        <v>1</v>
      </c>
      <c r="G598" s="33">
        <v>32874</v>
      </c>
      <c r="H598" s="33">
        <v>32874</v>
      </c>
      <c r="I598" s="1"/>
      <c r="J598" s="1"/>
      <c r="K598" s="1"/>
      <c r="L598" s="1"/>
      <c r="M598" s="1"/>
      <c r="P598" s="3"/>
      <c r="R598" s="1"/>
      <c r="S598" s="1"/>
    </row>
    <row r="599" spans="1:19" x14ac:dyDescent="0.65">
      <c r="A599" s="34">
        <v>598</v>
      </c>
      <c r="B599" s="4" t="s">
        <v>1862</v>
      </c>
      <c r="C599" s="1" t="s">
        <v>1863</v>
      </c>
      <c r="D599" s="1">
        <v>41</v>
      </c>
      <c r="E599" s="10" t="s">
        <v>1864</v>
      </c>
      <c r="F599" s="3">
        <v>1</v>
      </c>
      <c r="G599" s="33">
        <v>32874</v>
      </c>
      <c r="H599" s="33">
        <v>32874</v>
      </c>
      <c r="I599" s="1"/>
      <c r="J599" s="1"/>
      <c r="K599" s="1"/>
      <c r="L599" s="1"/>
      <c r="M599" s="1"/>
      <c r="P599" s="3"/>
      <c r="R599" s="1"/>
      <c r="S599" s="1"/>
    </row>
    <row r="600" spans="1:19" x14ac:dyDescent="0.65">
      <c r="A600" s="34">
        <v>599</v>
      </c>
      <c r="B600" s="4" t="s">
        <v>1865</v>
      </c>
      <c r="C600" s="1" t="s">
        <v>1866</v>
      </c>
      <c r="D600" s="1">
        <v>41</v>
      </c>
      <c r="E600" s="10" t="s">
        <v>1867</v>
      </c>
      <c r="F600" s="3">
        <v>1</v>
      </c>
      <c r="G600" s="33">
        <v>32874</v>
      </c>
      <c r="H600" s="33">
        <v>32874</v>
      </c>
      <c r="I600" s="1"/>
      <c r="J600" s="1"/>
      <c r="K600" s="1"/>
      <c r="L600" s="1"/>
      <c r="M600" s="1"/>
      <c r="P600" s="3"/>
      <c r="R600" s="1"/>
      <c r="S600" s="1"/>
    </row>
    <row r="601" spans="1:19" x14ac:dyDescent="0.65">
      <c r="A601" s="34">
        <v>600</v>
      </c>
      <c r="B601" s="4" t="s">
        <v>1868</v>
      </c>
      <c r="C601" s="1" t="s">
        <v>1869</v>
      </c>
      <c r="D601" s="1">
        <v>41</v>
      </c>
      <c r="E601" s="10" t="s">
        <v>1870</v>
      </c>
      <c r="F601" s="3">
        <v>1</v>
      </c>
      <c r="G601" s="33">
        <v>32874</v>
      </c>
      <c r="H601" s="33">
        <v>32874</v>
      </c>
      <c r="I601" s="1"/>
      <c r="J601" s="1"/>
      <c r="K601" s="1"/>
      <c r="L601" s="1"/>
      <c r="M601" s="1"/>
      <c r="P601" s="3"/>
      <c r="R601" s="1"/>
      <c r="S601" s="1"/>
    </row>
    <row r="602" spans="1:19" x14ac:dyDescent="0.65">
      <c r="A602" s="34">
        <v>601</v>
      </c>
      <c r="B602" s="4" t="s">
        <v>1871</v>
      </c>
      <c r="C602" s="1" t="s">
        <v>1872</v>
      </c>
      <c r="D602" s="1">
        <v>41</v>
      </c>
      <c r="E602" s="10" t="s">
        <v>1873</v>
      </c>
      <c r="F602" s="3">
        <v>1</v>
      </c>
      <c r="G602" s="33">
        <v>32874</v>
      </c>
      <c r="H602" s="33">
        <v>32874</v>
      </c>
      <c r="I602" s="1"/>
      <c r="J602" s="1"/>
      <c r="K602" s="1"/>
      <c r="L602" s="1"/>
      <c r="M602" s="1"/>
      <c r="P602" s="3"/>
      <c r="R602" s="1"/>
      <c r="S602" s="1"/>
    </row>
    <row r="603" spans="1:19" x14ac:dyDescent="0.65">
      <c r="A603" s="34">
        <v>602</v>
      </c>
      <c r="B603" s="4" t="s">
        <v>1874</v>
      </c>
      <c r="C603" s="1" t="s">
        <v>1875</v>
      </c>
      <c r="D603" s="1">
        <v>41</v>
      </c>
      <c r="E603" s="10" t="s">
        <v>1876</v>
      </c>
      <c r="F603" s="3">
        <v>1</v>
      </c>
      <c r="G603" s="33">
        <v>32874</v>
      </c>
      <c r="H603" s="33">
        <v>32874</v>
      </c>
      <c r="I603" s="1"/>
      <c r="J603" s="1"/>
      <c r="K603" s="1"/>
      <c r="L603" s="1"/>
      <c r="M603" s="1"/>
      <c r="P603" s="3"/>
      <c r="R603" s="1"/>
      <c r="S603" s="1"/>
    </row>
    <row r="604" spans="1:19" x14ac:dyDescent="0.65">
      <c r="A604" s="34">
        <v>603</v>
      </c>
      <c r="B604" s="4" t="s">
        <v>1877</v>
      </c>
      <c r="C604" s="1" t="s">
        <v>1878</v>
      </c>
      <c r="D604" s="1">
        <v>41</v>
      </c>
      <c r="E604" s="10" t="s">
        <v>1879</v>
      </c>
      <c r="F604" s="3">
        <v>1</v>
      </c>
      <c r="G604" s="33">
        <v>32874</v>
      </c>
      <c r="H604" s="33">
        <v>32874</v>
      </c>
      <c r="I604" s="1"/>
      <c r="J604" s="1"/>
      <c r="K604" s="1"/>
      <c r="L604" s="1"/>
      <c r="M604" s="1"/>
      <c r="P604" s="3"/>
      <c r="R604" s="1"/>
      <c r="S604" s="1"/>
    </row>
    <row r="605" spans="1:19" x14ac:dyDescent="0.65">
      <c r="A605" s="34">
        <v>604</v>
      </c>
      <c r="B605" s="4" t="s">
        <v>1880</v>
      </c>
      <c r="C605" s="1" t="s">
        <v>1881</v>
      </c>
      <c r="D605" s="1">
        <v>41</v>
      </c>
      <c r="E605" s="10" t="s">
        <v>1882</v>
      </c>
      <c r="F605" s="3">
        <v>1</v>
      </c>
      <c r="G605" s="33">
        <v>32874</v>
      </c>
      <c r="H605" s="33">
        <v>32874</v>
      </c>
      <c r="I605" s="1"/>
      <c r="J605" s="1"/>
      <c r="K605" s="1"/>
      <c r="L605" s="1"/>
      <c r="M605" s="1"/>
      <c r="P605" s="3"/>
      <c r="R605" s="1"/>
      <c r="S605" s="1"/>
    </row>
    <row r="606" spans="1:19" x14ac:dyDescent="0.65">
      <c r="A606" s="34">
        <v>605</v>
      </c>
      <c r="B606" s="4" t="s">
        <v>1883</v>
      </c>
      <c r="C606" s="1" t="s">
        <v>1884</v>
      </c>
      <c r="D606" s="1">
        <v>41</v>
      </c>
      <c r="E606" s="10" t="s">
        <v>1885</v>
      </c>
      <c r="F606" s="3">
        <v>1</v>
      </c>
      <c r="G606" s="33">
        <v>32874</v>
      </c>
      <c r="H606" s="33">
        <v>32874</v>
      </c>
      <c r="I606" s="1"/>
      <c r="J606" s="1"/>
      <c r="K606" s="1"/>
      <c r="L606" s="1"/>
      <c r="M606" s="1"/>
      <c r="P606" s="3"/>
      <c r="R606" s="1"/>
      <c r="S606" s="1"/>
    </row>
    <row r="607" spans="1:19" x14ac:dyDescent="0.65">
      <c r="A607" s="34">
        <v>606</v>
      </c>
      <c r="B607" s="4" t="s">
        <v>1886</v>
      </c>
      <c r="C607" s="1" t="s">
        <v>1887</v>
      </c>
      <c r="D607" s="1">
        <v>41</v>
      </c>
      <c r="E607" s="10" t="s">
        <v>1888</v>
      </c>
      <c r="F607" s="3">
        <v>1</v>
      </c>
      <c r="G607" s="33">
        <v>32874</v>
      </c>
      <c r="H607" s="33">
        <v>32874</v>
      </c>
      <c r="I607" s="1"/>
      <c r="J607" s="1"/>
      <c r="K607" s="1"/>
      <c r="L607" s="1"/>
      <c r="M607" s="1"/>
      <c r="P607" s="3"/>
      <c r="R607" s="1"/>
      <c r="S607" s="1"/>
    </row>
    <row r="608" spans="1:19" x14ac:dyDescent="0.65">
      <c r="A608" s="34">
        <v>607</v>
      </c>
      <c r="B608" s="4" t="s">
        <v>1889</v>
      </c>
      <c r="C608" s="1" t="s">
        <v>1890</v>
      </c>
      <c r="D608" s="1">
        <v>41</v>
      </c>
      <c r="E608" s="10" t="s">
        <v>1891</v>
      </c>
      <c r="F608" s="3">
        <v>1</v>
      </c>
      <c r="G608" s="33">
        <v>32874</v>
      </c>
      <c r="H608" s="33">
        <v>32874</v>
      </c>
      <c r="I608" s="1"/>
      <c r="J608" s="1"/>
      <c r="K608" s="1"/>
      <c r="L608" s="1"/>
      <c r="M608" s="1"/>
      <c r="P608" s="3"/>
      <c r="R608" s="1"/>
      <c r="S608" s="1"/>
    </row>
    <row r="609" spans="1:19" x14ac:dyDescent="0.65">
      <c r="A609" s="34">
        <v>608</v>
      </c>
      <c r="B609" s="4" t="s">
        <v>1892</v>
      </c>
      <c r="C609" s="1" t="s">
        <v>1893</v>
      </c>
      <c r="D609" s="1">
        <v>41</v>
      </c>
      <c r="E609" s="10" t="s">
        <v>1894</v>
      </c>
      <c r="F609" s="3">
        <v>1</v>
      </c>
      <c r="G609" s="33">
        <v>32874</v>
      </c>
      <c r="H609" s="33">
        <v>32874</v>
      </c>
      <c r="I609" s="1"/>
      <c r="J609" s="1"/>
      <c r="K609" s="1"/>
      <c r="L609" s="1"/>
      <c r="M609" s="1"/>
      <c r="P609" s="3"/>
      <c r="R609" s="1"/>
      <c r="S609" s="1"/>
    </row>
    <row r="610" spans="1:19" x14ac:dyDescent="0.65">
      <c r="A610" s="34">
        <v>609</v>
      </c>
      <c r="B610" s="4" t="s">
        <v>1895</v>
      </c>
      <c r="C610" s="1" t="s">
        <v>1896</v>
      </c>
      <c r="D610" s="1">
        <v>41</v>
      </c>
      <c r="E610" s="10" t="s">
        <v>1897</v>
      </c>
      <c r="F610" s="3">
        <v>1</v>
      </c>
      <c r="G610" s="33">
        <v>32874</v>
      </c>
      <c r="H610" s="33">
        <v>32874</v>
      </c>
      <c r="I610" s="1"/>
      <c r="J610" s="1"/>
      <c r="K610" s="1"/>
      <c r="L610" s="1"/>
      <c r="M610" s="1"/>
      <c r="P610" s="3"/>
      <c r="R610" s="1"/>
      <c r="S610" s="1"/>
    </row>
    <row r="611" spans="1:19" x14ac:dyDescent="0.65">
      <c r="A611" s="34">
        <v>610</v>
      </c>
      <c r="B611" s="4" t="s">
        <v>1898</v>
      </c>
      <c r="C611" s="1" t="s">
        <v>1899</v>
      </c>
      <c r="D611" s="1">
        <v>41</v>
      </c>
      <c r="E611" s="10" t="s">
        <v>1900</v>
      </c>
      <c r="F611" s="3">
        <v>1</v>
      </c>
      <c r="G611" s="33">
        <v>32874</v>
      </c>
      <c r="H611" s="33">
        <v>32874</v>
      </c>
      <c r="I611" s="1"/>
      <c r="J611" s="1"/>
      <c r="K611" s="1"/>
      <c r="L611" s="1"/>
      <c r="M611" s="1"/>
      <c r="P611" s="3"/>
      <c r="R611" s="1"/>
      <c r="S611" s="1"/>
    </row>
    <row r="612" spans="1:19" x14ac:dyDescent="0.65">
      <c r="A612" s="34">
        <v>611</v>
      </c>
      <c r="B612" s="4" t="s">
        <v>1901</v>
      </c>
      <c r="C612" s="1" t="s">
        <v>1902</v>
      </c>
      <c r="D612" s="1">
        <v>41</v>
      </c>
      <c r="E612" s="10" t="s">
        <v>1903</v>
      </c>
      <c r="F612" s="3">
        <v>1</v>
      </c>
      <c r="G612" s="33">
        <v>32874</v>
      </c>
      <c r="H612" s="33">
        <v>32874</v>
      </c>
      <c r="I612" s="1"/>
      <c r="J612" s="1"/>
      <c r="K612" s="1"/>
      <c r="L612" s="1"/>
      <c r="M612" s="1"/>
      <c r="P612" s="3"/>
      <c r="R612" s="1"/>
      <c r="S612" s="1"/>
    </row>
    <row r="613" spans="1:19" x14ac:dyDescent="0.65">
      <c r="A613" s="34">
        <v>612</v>
      </c>
      <c r="B613" s="4" t="s">
        <v>1904</v>
      </c>
      <c r="C613" s="1" t="s">
        <v>1905</v>
      </c>
      <c r="D613" s="1">
        <v>41</v>
      </c>
      <c r="E613" s="11" t="s">
        <v>1906</v>
      </c>
      <c r="F613" s="3">
        <v>1</v>
      </c>
      <c r="G613" s="33">
        <v>32874</v>
      </c>
      <c r="H613" s="33">
        <v>32874</v>
      </c>
      <c r="I613" s="1"/>
      <c r="J613" s="1"/>
      <c r="K613" s="1"/>
      <c r="L613" s="1"/>
      <c r="M613" s="1"/>
      <c r="P613" s="3"/>
      <c r="R613" s="1"/>
      <c r="S613" s="1"/>
    </row>
    <row r="614" spans="1:19" x14ac:dyDescent="0.65">
      <c r="A614" s="34">
        <v>613</v>
      </c>
      <c r="B614" s="4" t="s">
        <v>1907</v>
      </c>
      <c r="C614" s="1" t="s">
        <v>1908</v>
      </c>
      <c r="D614" s="1">
        <v>41</v>
      </c>
      <c r="E614" s="10" t="s">
        <v>1909</v>
      </c>
      <c r="F614" s="3">
        <v>1</v>
      </c>
      <c r="G614" s="33">
        <v>32874</v>
      </c>
      <c r="H614" s="33">
        <v>32874</v>
      </c>
      <c r="I614" s="1"/>
      <c r="J614" s="1"/>
      <c r="K614" s="1"/>
      <c r="L614" s="1"/>
      <c r="M614" s="1"/>
      <c r="P614" s="3"/>
      <c r="R614" s="1"/>
      <c r="S614" s="1"/>
    </row>
    <row r="615" spans="1:19" x14ac:dyDescent="0.65">
      <c r="A615" s="34">
        <v>614</v>
      </c>
      <c r="B615" s="4" t="s">
        <v>1910</v>
      </c>
      <c r="C615" s="1" t="s">
        <v>1911</v>
      </c>
      <c r="D615" s="1">
        <v>41</v>
      </c>
      <c r="E615" s="10" t="s">
        <v>1912</v>
      </c>
      <c r="F615" s="3">
        <v>1</v>
      </c>
      <c r="G615" s="33">
        <v>32874</v>
      </c>
      <c r="H615" s="33">
        <v>32874</v>
      </c>
      <c r="I615" s="1"/>
      <c r="J615" s="1"/>
      <c r="K615" s="1"/>
      <c r="L615" s="1"/>
      <c r="M615" s="1"/>
      <c r="P615" s="3"/>
      <c r="R615" s="1"/>
      <c r="S615" s="1"/>
    </row>
    <row r="616" spans="1:19" x14ac:dyDescent="0.65">
      <c r="A616" s="34">
        <v>615</v>
      </c>
      <c r="B616" s="4" t="s">
        <v>1913</v>
      </c>
      <c r="C616" s="1" t="s">
        <v>1914</v>
      </c>
      <c r="D616" s="1">
        <v>41</v>
      </c>
      <c r="E616" s="10" t="s">
        <v>1915</v>
      </c>
      <c r="F616" s="3">
        <v>1</v>
      </c>
      <c r="G616" s="33">
        <v>32874</v>
      </c>
      <c r="H616" s="33">
        <v>32874</v>
      </c>
      <c r="I616" s="1"/>
      <c r="J616" s="1"/>
      <c r="K616" s="1"/>
      <c r="L616" s="1"/>
      <c r="M616" s="1"/>
      <c r="P616" s="3"/>
      <c r="R616" s="1"/>
      <c r="S616" s="1"/>
    </row>
    <row r="617" spans="1:19" x14ac:dyDescent="0.65">
      <c r="A617" s="34">
        <v>616</v>
      </c>
      <c r="B617" s="4" t="s">
        <v>1916</v>
      </c>
      <c r="C617" s="1" t="s">
        <v>1917</v>
      </c>
      <c r="D617" s="1">
        <v>41</v>
      </c>
      <c r="E617" s="10" t="s">
        <v>1918</v>
      </c>
      <c r="F617" s="3">
        <v>1</v>
      </c>
      <c r="G617" s="33">
        <v>32874</v>
      </c>
      <c r="H617" s="33">
        <v>32874</v>
      </c>
      <c r="I617" s="1"/>
      <c r="J617" s="1"/>
      <c r="K617" s="1"/>
      <c r="L617" s="1"/>
      <c r="M617" s="1"/>
      <c r="P617" s="3"/>
      <c r="R617" s="1"/>
      <c r="S617" s="1"/>
    </row>
    <row r="618" spans="1:19" x14ac:dyDescent="0.65">
      <c r="A618" s="34">
        <v>617</v>
      </c>
      <c r="B618" s="4" t="s">
        <v>1919</v>
      </c>
      <c r="C618" s="1" t="s">
        <v>1920</v>
      </c>
      <c r="D618" s="1">
        <v>41</v>
      </c>
      <c r="E618" s="11" t="s">
        <v>1921</v>
      </c>
      <c r="F618" s="3">
        <v>1</v>
      </c>
      <c r="G618" s="33">
        <v>32874</v>
      </c>
      <c r="H618" s="33">
        <v>32874</v>
      </c>
      <c r="I618" s="1"/>
      <c r="J618" s="1"/>
      <c r="K618" s="1"/>
      <c r="L618" s="1"/>
      <c r="M618" s="1"/>
      <c r="P618" s="3"/>
      <c r="R618" s="1"/>
      <c r="S618" s="1"/>
    </row>
    <row r="619" spans="1:19" x14ac:dyDescent="0.65">
      <c r="A619" s="34">
        <v>618</v>
      </c>
      <c r="B619" s="4" t="s">
        <v>1922</v>
      </c>
      <c r="C619" s="1" t="s">
        <v>1923</v>
      </c>
      <c r="D619" s="1">
        <v>41</v>
      </c>
      <c r="E619" s="11" t="s">
        <v>1924</v>
      </c>
      <c r="F619" s="3">
        <v>1</v>
      </c>
      <c r="G619" s="33">
        <v>32874</v>
      </c>
      <c r="H619" s="33">
        <v>32874</v>
      </c>
      <c r="I619" s="1"/>
      <c r="J619" s="1"/>
      <c r="K619" s="1"/>
      <c r="L619" s="1"/>
      <c r="M619" s="1"/>
      <c r="P619" s="3"/>
      <c r="R619" s="1"/>
      <c r="S619" s="1"/>
    </row>
    <row r="620" spans="1:19" x14ac:dyDescent="0.65">
      <c r="A620" s="34">
        <v>619</v>
      </c>
      <c r="B620" s="4" t="s">
        <v>1925</v>
      </c>
      <c r="C620" s="1" t="s">
        <v>1926</v>
      </c>
      <c r="D620" s="1">
        <v>41</v>
      </c>
      <c r="E620" s="11" t="s">
        <v>1924</v>
      </c>
      <c r="F620" s="3">
        <v>1</v>
      </c>
      <c r="G620" s="33">
        <v>32874</v>
      </c>
      <c r="H620" s="33">
        <v>32874</v>
      </c>
      <c r="I620" s="1"/>
      <c r="J620" s="1"/>
      <c r="K620" s="1"/>
      <c r="L620" s="1"/>
      <c r="M620" s="1"/>
      <c r="P620" s="3"/>
      <c r="R620" s="1"/>
      <c r="S620" s="1"/>
    </row>
    <row r="621" spans="1:19" x14ac:dyDescent="0.65">
      <c r="A621" s="34">
        <v>620</v>
      </c>
      <c r="B621" s="4" t="s">
        <v>1927</v>
      </c>
      <c r="C621" s="1" t="s">
        <v>1928</v>
      </c>
      <c r="D621" s="1">
        <v>41</v>
      </c>
      <c r="E621" s="11" t="s">
        <v>1924</v>
      </c>
      <c r="F621" s="3">
        <v>1</v>
      </c>
      <c r="G621" s="33">
        <v>32874</v>
      </c>
      <c r="H621" s="33">
        <v>32874</v>
      </c>
      <c r="I621" s="1"/>
      <c r="J621" s="1"/>
      <c r="K621" s="1"/>
      <c r="L621" s="1"/>
      <c r="M621" s="1"/>
      <c r="P621" s="3"/>
      <c r="R621" s="1"/>
      <c r="S621" s="1"/>
    </row>
    <row r="622" spans="1:19" x14ac:dyDescent="0.65">
      <c r="A622" s="34">
        <v>621</v>
      </c>
      <c r="B622" s="3" t="s">
        <v>1929</v>
      </c>
      <c r="C622" s="1" t="s">
        <v>1930</v>
      </c>
      <c r="D622" s="1">
        <v>41</v>
      </c>
      <c r="E622" s="9" t="s">
        <v>1931</v>
      </c>
      <c r="F622" s="3">
        <v>1</v>
      </c>
      <c r="G622" s="33">
        <v>32874</v>
      </c>
      <c r="H622" s="33">
        <v>32874</v>
      </c>
      <c r="I622" s="1"/>
      <c r="J622" s="1"/>
      <c r="K622" s="1"/>
      <c r="L622" s="1"/>
      <c r="M622" s="1"/>
      <c r="P622" s="3"/>
      <c r="R622" s="1"/>
      <c r="S622" s="1"/>
    </row>
    <row r="623" spans="1:19" x14ac:dyDescent="0.65">
      <c r="A623" s="34">
        <v>622</v>
      </c>
      <c r="B623" s="3" t="s">
        <v>1932</v>
      </c>
      <c r="C623" s="1" t="s">
        <v>1933</v>
      </c>
      <c r="D623" s="1">
        <v>41</v>
      </c>
      <c r="E623" s="9" t="s">
        <v>1934</v>
      </c>
      <c r="F623" s="3">
        <v>1</v>
      </c>
      <c r="G623" s="33">
        <v>32874</v>
      </c>
      <c r="H623" s="33">
        <v>32874</v>
      </c>
      <c r="I623" s="1"/>
      <c r="J623" s="1"/>
      <c r="K623" s="1"/>
      <c r="L623" s="1"/>
      <c r="M623" s="1"/>
      <c r="P623" s="3"/>
      <c r="R623" s="1"/>
      <c r="S623" s="1"/>
    </row>
    <row r="624" spans="1:19" x14ac:dyDescent="0.65">
      <c r="A624" s="34">
        <v>623</v>
      </c>
      <c r="B624" s="3" t="s">
        <v>1935</v>
      </c>
      <c r="C624" s="1" t="s">
        <v>1936</v>
      </c>
      <c r="D624" s="1">
        <v>41</v>
      </c>
      <c r="E624" s="9" t="s">
        <v>1937</v>
      </c>
      <c r="F624" s="3">
        <v>1</v>
      </c>
      <c r="G624" s="33">
        <v>32874</v>
      </c>
      <c r="H624" s="33">
        <v>32874</v>
      </c>
      <c r="I624" s="1"/>
      <c r="J624" s="1"/>
      <c r="K624" s="1"/>
      <c r="L624" s="1"/>
      <c r="M624" s="1"/>
      <c r="P624" s="3"/>
      <c r="R624" s="1"/>
      <c r="S624" s="1"/>
    </row>
    <row r="625" spans="1:19" x14ac:dyDescent="0.65">
      <c r="A625" s="34">
        <v>624</v>
      </c>
      <c r="B625" s="3" t="s">
        <v>1938</v>
      </c>
      <c r="C625" s="1" t="s">
        <v>1939</v>
      </c>
      <c r="D625" s="1">
        <v>42</v>
      </c>
      <c r="E625" s="9" t="s">
        <v>1940</v>
      </c>
      <c r="F625" s="3">
        <v>1</v>
      </c>
      <c r="G625" s="33">
        <v>32874</v>
      </c>
      <c r="H625" s="33">
        <v>32874</v>
      </c>
      <c r="I625" s="1"/>
      <c r="J625" s="1"/>
      <c r="K625" s="1"/>
      <c r="L625" s="1"/>
      <c r="M625" s="1"/>
      <c r="P625" s="3"/>
      <c r="R625" s="1"/>
      <c r="S625" s="1"/>
    </row>
    <row r="626" spans="1:19" x14ac:dyDescent="0.65">
      <c r="A626" s="34">
        <v>625</v>
      </c>
      <c r="B626" s="3" t="s">
        <v>1942</v>
      </c>
      <c r="C626" s="1" t="s">
        <v>1943</v>
      </c>
      <c r="D626" s="1">
        <v>43</v>
      </c>
      <c r="E626" s="9" t="s">
        <v>1944</v>
      </c>
      <c r="F626" s="3">
        <v>1</v>
      </c>
      <c r="G626" s="33">
        <v>32874</v>
      </c>
      <c r="H626" s="33">
        <v>32874</v>
      </c>
      <c r="I626" s="1"/>
      <c r="J626" s="1"/>
      <c r="K626" s="1"/>
      <c r="L626" s="1"/>
      <c r="M626" s="1"/>
      <c r="P626" s="3"/>
      <c r="R626" s="1"/>
      <c r="S626" s="1"/>
    </row>
    <row r="627" spans="1:19" x14ac:dyDescent="0.65">
      <c r="A627" s="34">
        <v>626</v>
      </c>
      <c r="B627" s="3" t="s">
        <v>1946</v>
      </c>
      <c r="C627" s="1" t="s">
        <v>1947</v>
      </c>
      <c r="D627" s="1">
        <v>44</v>
      </c>
      <c r="E627" s="2" t="s">
        <v>1948</v>
      </c>
      <c r="F627" s="3">
        <v>1</v>
      </c>
      <c r="G627" s="33">
        <v>32874</v>
      </c>
      <c r="H627" s="33">
        <v>32874</v>
      </c>
      <c r="I627" s="1"/>
      <c r="J627" s="1"/>
      <c r="K627" s="1"/>
      <c r="L627" s="1"/>
      <c r="M627" s="1"/>
      <c r="P627" s="3"/>
      <c r="R627" s="1"/>
      <c r="S627" s="1"/>
    </row>
    <row r="628" spans="1:19" x14ac:dyDescent="0.65">
      <c r="A628" s="34">
        <v>627</v>
      </c>
      <c r="B628" s="3" t="s">
        <v>1950</v>
      </c>
      <c r="C628" s="1" t="s">
        <v>1951</v>
      </c>
      <c r="D628" s="1">
        <v>44</v>
      </c>
      <c r="E628" s="9" t="s">
        <v>1952</v>
      </c>
      <c r="F628" s="3">
        <v>1</v>
      </c>
      <c r="G628" s="33">
        <v>32874</v>
      </c>
      <c r="H628" s="33">
        <v>32874</v>
      </c>
      <c r="I628" s="1"/>
      <c r="J628" s="1"/>
      <c r="K628" s="1"/>
      <c r="L628" s="1"/>
      <c r="M628" s="1"/>
      <c r="P628" s="3"/>
      <c r="R628" s="1"/>
      <c r="S628" s="1"/>
    </row>
    <row r="629" spans="1:19" x14ac:dyDescent="0.65">
      <c r="A629" s="34">
        <v>628</v>
      </c>
      <c r="B629" s="3" t="s">
        <v>1953</v>
      </c>
      <c r="C629" s="1" t="s">
        <v>1954</v>
      </c>
      <c r="D629" s="1">
        <v>44</v>
      </c>
      <c r="E629" s="9" t="s">
        <v>1955</v>
      </c>
      <c r="F629" s="3">
        <v>1</v>
      </c>
      <c r="G629" s="33">
        <v>32874</v>
      </c>
      <c r="H629" s="33">
        <v>32874</v>
      </c>
      <c r="I629" s="1"/>
      <c r="J629" s="1"/>
      <c r="K629" s="1"/>
      <c r="L629" s="1"/>
      <c r="M629" s="1"/>
      <c r="P629" s="3"/>
      <c r="R629" s="1"/>
      <c r="S629" s="1"/>
    </row>
    <row r="630" spans="1:19" x14ac:dyDescent="0.65">
      <c r="A630" s="34">
        <v>629</v>
      </c>
      <c r="B630" s="3" t="s">
        <v>1956</v>
      </c>
      <c r="C630" s="1" t="s">
        <v>1957</v>
      </c>
      <c r="D630" s="1">
        <v>45</v>
      </c>
      <c r="E630" s="9" t="s">
        <v>1958</v>
      </c>
      <c r="F630" s="3">
        <v>1</v>
      </c>
      <c r="G630" s="33">
        <v>32874</v>
      </c>
      <c r="H630" s="33">
        <v>32874</v>
      </c>
      <c r="I630" s="1"/>
      <c r="J630" s="1"/>
      <c r="K630" s="1"/>
      <c r="L630" s="1"/>
      <c r="M630" s="1"/>
      <c r="P630" s="3"/>
      <c r="R630" s="1"/>
      <c r="S630" s="1"/>
    </row>
    <row r="631" spans="1:19" x14ac:dyDescent="0.65">
      <c r="A631" s="34">
        <v>630</v>
      </c>
      <c r="B631" s="3" t="s">
        <v>1960</v>
      </c>
      <c r="C631" s="1" t="s">
        <v>1961</v>
      </c>
      <c r="D631" s="1">
        <v>46</v>
      </c>
      <c r="E631" s="9" t="s">
        <v>1962</v>
      </c>
      <c r="F631" s="3">
        <v>1</v>
      </c>
      <c r="G631" s="33">
        <v>32874</v>
      </c>
      <c r="H631" s="33">
        <v>32874</v>
      </c>
      <c r="I631" s="1"/>
      <c r="J631" s="1"/>
      <c r="K631" s="1"/>
      <c r="L631" s="1"/>
      <c r="M631" s="1"/>
      <c r="P631" s="3"/>
      <c r="R631" s="1"/>
      <c r="S631" s="1"/>
    </row>
    <row r="632" spans="1:19" ht="13.5" x14ac:dyDescent="0.65">
      <c r="A632" s="34">
        <v>631</v>
      </c>
      <c r="B632" s="3" t="s">
        <v>1963</v>
      </c>
      <c r="C632" s="1" t="s">
        <v>1964</v>
      </c>
      <c r="D632" s="1">
        <v>52</v>
      </c>
      <c r="E632" s="2" t="s">
        <v>1965</v>
      </c>
      <c r="F632" s="3">
        <v>1</v>
      </c>
      <c r="G632" s="33">
        <v>32874</v>
      </c>
      <c r="H632" s="32">
        <v>45743.753298611111</v>
      </c>
      <c r="I632" s="1"/>
      <c r="J632" s="1"/>
      <c r="K632" s="1"/>
      <c r="L632" s="1"/>
      <c r="M632" s="1"/>
      <c r="P632" s="3"/>
      <c r="R632" s="1"/>
      <c r="S632" s="1"/>
    </row>
    <row r="633" spans="1:19" ht="13.5" x14ac:dyDescent="0.65">
      <c r="A633" s="34">
        <v>632</v>
      </c>
      <c r="B633" s="3" t="s">
        <v>1969</v>
      </c>
      <c r="C633" s="1" t="s">
        <v>1970</v>
      </c>
      <c r="D633" s="1">
        <v>52</v>
      </c>
      <c r="E633" s="2" t="s">
        <v>1971</v>
      </c>
      <c r="F633" s="3">
        <v>1</v>
      </c>
      <c r="G633" s="33">
        <v>32874</v>
      </c>
      <c r="H633" s="32">
        <v>45720.475219907406</v>
      </c>
      <c r="I633" s="1"/>
      <c r="J633" s="1"/>
      <c r="K633" s="1"/>
      <c r="L633" s="1"/>
      <c r="M633" s="1"/>
      <c r="P633" s="3"/>
      <c r="R633" s="1"/>
      <c r="S633" s="1"/>
    </row>
    <row r="634" spans="1:19" ht="13.5" x14ac:dyDescent="0.65">
      <c r="A634" s="34">
        <v>633</v>
      </c>
      <c r="B634" s="3" t="s">
        <v>1972</v>
      </c>
      <c r="C634" s="1" t="s">
        <v>1973</v>
      </c>
      <c r="D634" s="1">
        <v>52</v>
      </c>
      <c r="E634" s="2" t="s">
        <v>1974</v>
      </c>
      <c r="F634" s="3">
        <v>1</v>
      </c>
      <c r="G634" s="33">
        <v>32874</v>
      </c>
      <c r="H634" s="32">
        <v>45863.480312500003</v>
      </c>
      <c r="I634" s="1"/>
      <c r="J634" s="1"/>
      <c r="K634" s="1"/>
      <c r="L634" s="1"/>
      <c r="M634" s="1"/>
      <c r="P634" s="3"/>
      <c r="R634" s="1"/>
      <c r="S634" s="1"/>
    </row>
    <row r="635" spans="1:19" ht="13.5" x14ac:dyDescent="0.65">
      <c r="A635" s="34">
        <v>634</v>
      </c>
      <c r="B635" s="3" t="s">
        <v>1975</v>
      </c>
      <c r="C635" s="1" t="s">
        <v>1976</v>
      </c>
      <c r="D635" s="1">
        <v>52</v>
      </c>
      <c r="E635" s="2" t="s">
        <v>1977</v>
      </c>
      <c r="F635" s="3">
        <v>1</v>
      </c>
      <c r="G635" s="33">
        <v>32874</v>
      </c>
      <c r="H635" s="32">
        <v>45702.797581018516</v>
      </c>
      <c r="I635" s="1"/>
      <c r="J635" s="1"/>
      <c r="K635" s="1"/>
      <c r="L635" s="1"/>
      <c r="M635" s="1"/>
      <c r="P635" s="3"/>
      <c r="R635" s="1"/>
      <c r="S635" s="1"/>
    </row>
    <row r="636" spans="1:19" ht="13.5" x14ac:dyDescent="0.65">
      <c r="A636" s="34">
        <v>635</v>
      </c>
      <c r="B636" s="3" t="s">
        <v>1978</v>
      </c>
      <c r="C636" s="1" t="s">
        <v>947</v>
      </c>
      <c r="D636" s="1">
        <v>52</v>
      </c>
      <c r="E636" s="2" t="s">
        <v>1979</v>
      </c>
      <c r="F636" s="3">
        <v>1</v>
      </c>
      <c r="G636" s="33">
        <v>32874</v>
      </c>
      <c r="H636" s="32">
        <v>45702.797500000001</v>
      </c>
      <c r="I636" s="1"/>
      <c r="J636" s="1"/>
      <c r="K636" s="1"/>
      <c r="L636" s="1"/>
      <c r="M636" s="1"/>
      <c r="P636" s="3"/>
      <c r="R636" s="1"/>
      <c r="S636" s="1"/>
    </row>
    <row r="637" spans="1:19" ht="13.5" x14ac:dyDescent="0.65">
      <c r="A637" s="34">
        <v>636</v>
      </c>
      <c r="B637" s="3" t="s">
        <v>1980</v>
      </c>
      <c r="C637" s="1" t="s">
        <v>1981</v>
      </c>
      <c r="D637" s="1">
        <v>53</v>
      </c>
      <c r="E637" s="2" t="s">
        <v>1982</v>
      </c>
      <c r="F637" s="3">
        <v>1</v>
      </c>
      <c r="G637" s="33">
        <v>32874</v>
      </c>
      <c r="H637" s="32">
        <v>45710.636238425926</v>
      </c>
      <c r="I637" s="1"/>
      <c r="J637" s="1"/>
      <c r="K637" s="1"/>
      <c r="L637" s="1"/>
      <c r="M637" s="1"/>
      <c r="P637" s="3"/>
      <c r="R637" s="1"/>
      <c r="S637" s="1"/>
    </row>
    <row r="638" spans="1:19" ht="13.5" x14ac:dyDescent="0.65">
      <c r="A638" s="34">
        <v>637</v>
      </c>
      <c r="B638" s="3" t="s">
        <v>1984</v>
      </c>
      <c r="C638" s="1" t="s">
        <v>1985</v>
      </c>
      <c r="D638" s="1">
        <v>52</v>
      </c>
      <c r="E638" s="2" t="s">
        <v>1986</v>
      </c>
      <c r="F638" s="3">
        <v>1</v>
      </c>
      <c r="G638" s="33">
        <v>32874</v>
      </c>
      <c r="H638" s="32">
        <v>45702.797430555554</v>
      </c>
      <c r="I638" s="1"/>
      <c r="J638" s="1"/>
      <c r="K638" s="1"/>
      <c r="L638" s="1"/>
      <c r="M638" s="1"/>
      <c r="P638" s="3"/>
      <c r="R638" s="1"/>
      <c r="S638" s="1"/>
    </row>
    <row r="639" spans="1:19" ht="13.5" x14ac:dyDescent="0.65">
      <c r="A639" s="34">
        <v>638</v>
      </c>
      <c r="B639" s="3" t="s">
        <v>1987</v>
      </c>
      <c r="C639" s="1" t="s">
        <v>1988</v>
      </c>
      <c r="D639" s="1">
        <v>52</v>
      </c>
      <c r="E639" s="2" t="s">
        <v>1989</v>
      </c>
      <c r="F639" s="3">
        <v>1</v>
      </c>
      <c r="G639" s="33">
        <v>32874</v>
      </c>
      <c r="H639" s="32">
        <v>45747.368136574078</v>
      </c>
      <c r="I639" s="1"/>
      <c r="J639" s="1"/>
      <c r="K639" s="1"/>
      <c r="L639" s="1"/>
      <c r="M639" s="1"/>
      <c r="P639" s="3"/>
      <c r="R639" s="1"/>
      <c r="S639" s="1"/>
    </row>
    <row r="640" spans="1:19" ht="13.5" x14ac:dyDescent="0.65">
      <c r="A640" s="34">
        <v>639</v>
      </c>
      <c r="B640" s="3" t="s">
        <v>1990</v>
      </c>
      <c r="C640" s="1" t="s">
        <v>1991</v>
      </c>
      <c r="D640" s="1">
        <v>52</v>
      </c>
      <c r="E640" s="2" t="s">
        <v>1992</v>
      </c>
      <c r="F640" s="3">
        <v>1</v>
      </c>
      <c r="G640" s="33">
        <v>32874</v>
      </c>
      <c r="H640" s="32">
        <v>45806.56046296296</v>
      </c>
      <c r="I640" s="1"/>
      <c r="J640" s="1"/>
      <c r="K640" s="1"/>
      <c r="L640" s="1"/>
      <c r="M640" s="1"/>
      <c r="P640" s="3"/>
      <c r="R640" s="1"/>
      <c r="S640" s="1"/>
    </row>
    <row r="641" spans="1:19" ht="13.5" x14ac:dyDescent="0.65">
      <c r="A641" s="34">
        <v>640</v>
      </c>
      <c r="B641" s="3" t="s">
        <v>1993</v>
      </c>
      <c r="C641" s="1" t="s">
        <v>1994</v>
      </c>
      <c r="D641" s="1">
        <v>53</v>
      </c>
      <c r="E641" s="2" t="s">
        <v>1995</v>
      </c>
      <c r="F641" s="3">
        <v>1</v>
      </c>
      <c r="G641" s="33">
        <v>32874</v>
      </c>
      <c r="H641" s="32">
        <v>45702.607002314813</v>
      </c>
      <c r="I641" s="1"/>
      <c r="J641" s="1"/>
      <c r="K641" s="1"/>
      <c r="L641" s="1"/>
      <c r="M641" s="1"/>
      <c r="P641" s="3"/>
      <c r="R641" s="1"/>
      <c r="S641" s="1"/>
    </row>
    <row r="642" spans="1:19" ht="13.5" x14ac:dyDescent="0.65">
      <c r="A642" s="34">
        <v>641</v>
      </c>
      <c r="B642" s="3" t="s">
        <v>1996</v>
      </c>
      <c r="C642" s="1" t="s">
        <v>1997</v>
      </c>
      <c r="D642" s="1">
        <v>52</v>
      </c>
      <c r="E642" s="2" t="s">
        <v>1998</v>
      </c>
      <c r="F642" s="3">
        <v>1</v>
      </c>
      <c r="G642" s="33">
        <v>32874</v>
      </c>
      <c r="H642" s="32">
        <v>45702.797326388885</v>
      </c>
      <c r="I642" s="1"/>
      <c r="J642" s="1"/>
      <c r="K642" s="1"/>
      <c r="L642" s="1"/>
      <c r="M642" s="1"/>
      <c r="P642" s="3"/>
      <c r="R642" s="1"/>
      <c r="S642" s="1"/>
    </row>
    <row r="643" spans="1:19" ht="13.5" x14ac:dyDescent="0.65">
      <c r="A643" s="34">
        <v>642</v>
      </c>
      <c r="B643" s="3" t="s">
        <v>1999</v>
      </c>
      <c r="C643" s="1" t="s">
        <v>956</v>
      </c>
      <c r="D643" s="1">
        <v>52</v>
      </c>
      <c r="E643" s="2" t="s">
        <v>2000</v>
      </c>
      <c r="F643" s="3">
        <v>1</v>
      </c>
      <c r="G643" s="33">
        <v>32874</v>
      </c>
      <c r="H643" s="32">
        <v>45702.797268518516</v>
      </c>
      <c r="I643" s="1"/>
      <c r="J643" s="1"/>
      <c r="K643" s="1"/>
      <c r="L643" s="1"/>
      <c r="M643" s="1"/>
      <c r="P643" s="3"/>
      <c r="R643" s="1"/>
      <c r="S643" s="1"/>
    </row>
    <row r="644" spans="1:19" ht="13.5" x14ac:dyDescent="0.65">
      <c r="A644" s="34">
        <v>643</v>
      </c>
      <c r="B644" s="3" t="s">
        <v>2001</v>
      </c>
      <c r="C644" s="1" t="s">
        <v>2002</v>
      </c>
      <c r="D644" s="1">
        <v>52</v>
      </c>
      <c r="E644" s="2" t="s">
        <v>2003</v>
      </c>
      <c r="F644" s="3">
        <v>1</v>
      </c>
      <c r="G644" s="33">
        <v>32874</v>
      </c>
      <c r="H644" s="32">
        <v>45702.797210648147</v>
      </c>
      <c r="I644" s="1"/>
      <c r="J644" s="1"/>
      <c r="K644" s="1"/>
      <c r="L644" s="1"/>
      <c r="M644" s="1"/>
      <c r="P644" s="3"/>
      <c r="R644" s="1"/>
      <c r="S644" s="1"/>
    </row>
    <row r="645" spans="1:19" ht="13.5" x14ac:dyDescent="0.65">
      <c r="A645" s="34">
        <v>644</v>
      </c>
      <c r="B645" s="3" t="s">
        <v>2004</v>
      </c>
      <c r="C645" s="1" t="s">
        <v>2005</v>
      </c>
      <c r="D645" s="1">
        <v>52</v>
      </c>
      <c r="E645" s="2" t="s">
        <v>2006</v>
      </c>
      <c r="F645" s="3">
        <v>1</v>
      </c>
      <c r="G645" s="33">
        <v>32874</v>
      </c>
      <c r="H645" s="32">
        <v>45707.350532407407</v>
      </c>
      <c r="I645" s="1"/>
      <c r="J645" s="1"/>
      <c r="K645" s="1"/>
      <c r="L645" s="1"/>
      <c r="M645" s="1"/>
      <c r="P645" s="3"/>
      <c r="R645" s="1"/>
      <c r="S645" s="1"/>
    </row>
    <row r="646" spans="1:19" ht="13.5" x14ac:dyDescent="0.65">
      <c r="A646" s="34">
        <v>645</v>
      </c>
      <c r="B646" s="3" t="s">
        <v>2007</v>
      </c>
      <c r="C646" s="1" t="s">
        <v>649</v>
      </c>
      <c r="D646" s="1">
        <v>52</v>
      </c>
      <c r="E646" s="2" t="s">
        <v>2008</v>
      </c>
      <c r="F646" s="3">
        <v>1</v>
      </c>
      <c r="G646" s="33">
        <v>32874</v>
      </c>
      <c r="H646" s="32">
        <v>45702.606932870367</v>
      </c>
      <c r="I646" s="1"/>
      <c r="J646" s="1"/>
      <c r="K646" s="1"/>
      <c r="L646" s="1"/>
      <c r="M646" s="1"/>
      <c r="P646" s="3"/>
      <c r="R646" s="1"/>
      <c r="S646" s="1"/>
    </row>
    <row r="647" spans="1:19" ht="13.5" x14ac:dyDescent="0.65">
      <c r="A647" s="34">
        <v>646</v>
      </c>
      <c r="B647" s="3" t="s">
        <v>2009</v>
      </c>
      <c r="C647" s="1" t="s">
        <v>2010</v>
      </c>
      <c r="D647" s="1">
        <v>52</v>
      </c>
      <c r="E647" s="2" t="s">
        <v>2011</v>
      </c>
      <c r="F647" s="3">
        <v>1</v>
      </c>
      <c r="G647" s="33">
        <v>32874</v>
      </c>
      <c r="H647" s="32">
        <v>45707.350381944445</v>
      </c>
      <c r="I647" s="1"/>
      <c r="J647" s="1"/>
      <c r="K647" s="1"/>
      <c r="L647" s="1"/>
      <c r="M647" s="1"/>
      <c r="P647" s="3"/>
      <c r="R647" s="1"/>
      <c r="S647" s="1"/>
    </row>
    <row r="648" spans="1:19" ht="13.5" x14ac:dyDescent="0.65">
      <c r="A648" s="34">
        <v>647</v>
      </c>
      <c r="B648" s="3" t="s">
        <v>2012</v>
      </c>
      <c r="C648" s="1" t="s">
        <v>2013</v>
      </c>
      <c r="D648" s="1">
        <v>52</v>
      </c>
      <c r="E648" s="2" t="s">
        <v>2014</v>
      </c>
      <c r="F648" s="3">
        <v>1</v>
      </c>
      <c r="G648" s="33">
        <v>32874</v>
      </c>
      <c r="H648" s="32">
        <v>45917.691377314812</v>
      </c>
      <c r="I648" s="1"/>
      <c r="J648" s="1"/>
      <c r="K648" s="1"/>
      <c r="L648" s="1"/>
      <c r="M648" s="1"/>
      <c r="P648" s="3"/>
      <c r="R648" s="1"/>
      <c r="S648" s="1"/>
    </row>
    <row r="649" spans="1:19" ht="13.5" x14ac:dyDescent="0.65">
      <c r="A649" s="34">
        <v>648</v>
      </c>
      <c r="B649" s="3" t="s">
        <v>2015</v>
      </c>
      <c r="C649" s="1" t="s">
        <v>2016</v>
      </c>
      <c r="D649" s="1">
        <v>52</v>
      </c>
      <c r="E649" s="2" t="s">
        <v>2017</v>
      </c>
      <c r="F649" s="3">
        <v>1</v>
      </c>
      <c r="G649" s="33">
        <v>32874</v>
      </c>
      <c r="H649" s="32">
        <v>45868.37096064815</v>
      </c>
      <c r="I649" s="1"/>
      <c r="J649" s="1"/>
      <c r="K649" s="1"/>
      <c r="L649" s="1"/>
      <c r="M649" s="1"/>
      <c r="P649" s="3"/>
      <c r="R649" s="1"/>
      <c r="S649" s="1"/>
    </row>
    <row r="650" spans="1:19" ht="13.5" x14ac:dyDescent="0.65">
      <c r="A650" s="34">
        <v>649</v>
      </c>
      <c r="B650" s="3" t="s">
        <v>2018</v>
      </c>
      <c r="C650" s="1" t="s">
        <v>2019</v>
      </c>
      <c r="D650" s="1">
        <v>52</v>
      </c>
      <c r="E650" s="2" t="s">
        <v>2020</v>
      </c>
      <c r="F650" s="3">
        <v>1</v>
      </c>
      <c r="G650" s="33">
        <v>32874</v>
      </c>
      <c r="H650" s="32">
        <v>45707.350138888891</v>
      </c>
      <c r="I650" s="1"/>
      <c r="J650" s="1"/>
      <c r="K650" s="1"/>
      <c r="L650" s="1"/>
      <c r="M650" s="1"/>
      <c r="P650" s="3"/>
      <c r="R650" s="1"/>
      <c r="S650" s="1"/>
    </row>
    <row r="651" spans="1:19" ht="13.5" x14ac:dyDescent="0.65">
      <c r="A651" s="34">
        <v>650</v>
      </c>
      <c r="B651" s="3" t="s">
        <v>2021</v>
      </c>
      <c r="C651" s="1" t="s">
        <v>2022</v>
      </c>
      <c r="D651" s="1">
        <v>52</v>
      </c>
      <c r="E651" s="2" t="s">
        <v>2023</v>
      </c>
      <c r="F651" s="3">
        <v>1</v>
      </c>
      <c r="G651" s="33">
        <v>32874</v>
      </c>
      <c r="H651" s="32">
        <v>45792.384791666664</v>
      </c>
      <c r="I651" s="1"/>
      <c r="J651" s="1"/>
      <c r="K651" s="1"/>
      <c r="L651" s="1"/>
      <c r="M651" s="1"/>
      <c r="P651" s="3"/>
      <c r="R651" s="1"/>
      <c r="S651" s="1"/>
    </row>
    <row r="652" spans="1:19" ht="13.5" x14ac:dyDescent="0.65">
      <c r="A652" s="34">
        <v>651</v>
      </c>
      <c r="B652" s="3" t="s">
        <v>2024</v>
      </c>
      <c r="C652" s="1" t="s">
        <v>2025</v>
      </c>
      <c r="D652" s="1">
        <v>53</v>
      </c>
      <c r="E652" s="2" t="s">
        <v>2026</v>
      </c>
      <c r="F652" s="3">
        <v>1</v>
      </c>
      <c r="G652" s="33">
        <v>32874</v>
      </c>
      <c r="H652" s="32">
        <v>45713.37358796296</v>
      </c>
      <c r="I652" s="1"/>
      <c r="J652" s="1"/>
      <c r="K652" s="1"/>
      <c r="L652" s="1"/>
      <c r="M652" s="1"/>
      <c r="P652" s="3"/>
      <c r="R652" s="1"/>
      <c r="S652" s="1"/>
    </row>
    <row r="653" spans="1:19" ht="13.5" x14ac:dyDescent="0.65">
      <c r="A653" s="34">
        <v>652</v>
      </c>
      <c r="B653" s="3" t="s">
        <v>2027</v>
      </c>
      <c r="C653" s="1" t="s">
        <v>2028</v>
      </c>
      <c r="D653" s="1">
        <v>52</v>
      </c>
      <c r="E653" s="2" t="s">
        <v>2029</v>
      </c>
      <c r="F653" s="3">
        <v>1</v>
      </c>
      <c r="G653" s="33">
        <v>32874</v>
      </c>
      <c r="H653" s="32">
        <v>45702.798032407409</v>
      </c>
      <c r="I653" s="1"/>
      <c r="J653" s="1"/>
      <c r="K653" s="1"/>
      <c r="L653" s="1"/>
      <c r="M653" s="1"/>
      <c r="P653" s="3"/>
      <c r="R653" s="1"/>
      <c r="S653" s="1"/>
    </row>
    <row r="654" spans="1:19" ht="13.5" x14ac:dyDescent="0.65">
      <c r="A654" s="34">
        <v>653</v>
      </c>
      <c r="B654" s="3" t="s">
        <v>2030</v>
      </c>
      <c r="C654" s="1" t="s">
        <v>2031</v>
      </c>
      <c r="D654" s="1">
        <v>52</v>
      </c>
      <c r="E654" s="2" t="s">
        <v>2032</v>
      </c>
      <c r="F654" s="3">
        <v>1</v>
      </c>
      <c r="G654" s="33">
        <v>32874</v>
      </c>
      <c r="H654" s="32">
        <v>45707.349965277775</v>
      </c>
      <c r="I654" s="1"/>
      <c r="J654" s="1"/>
      <c r="K654" s="1"/>
      <c r="L654" s="1"/>
      <c r="M654" s="1"/>
      <c r="P654" s="3"/>
      <c r="R654" s="1"/>
      <c r="S654" s="1"/>
    </row>
    <row r="655" spans="1:19" ht="13.5" x14ac:dyDescent="0.65">
      <c r="A655" s="34">
        <v>654</v>
      </c>
      <c r="B655" s="3" t="s">
        <v>2033</v>
      </c>
      <c r="C655" s="1" t="s">
        <v>2034</v>
      </c>
      <c r="D655" s="1">
        <v>53</v>
      </c>
      <c r="E655" s="2" t="s">
        <v>2035</v>
      </c>
      <c r="F655" s="3">
        <v>1</v>
      </c>
      <c r="G655" s="33">
        <v>32874</v>
      </c>
      <c r="H655" s="32">
        <v>45803.795173611114</v>
      </c>
      <c r="I655" s="1"/>
      <c r="J655" s="1"/>
      <c r="K655" s="1"/>
      <c r="L655" s="1"/>
      <c r="M655" s="1"/>
      <c r="P655" s="3"/>
      <c r="R655" s="1"/>
      <c r="S655" s="1"/>
    </row>
    <row r="656" spans="1:19" ht="13.5" x14ac:dyDescent="0.65">
      <c r="A656" s="34">
        <v>655</v>
      </c>
      <c r="B656" s="3" t="s">
        <v>2036</v>
      </c>
      <c r="C656" s="1" t="s">
        <v>2037</v>
      </c>
      <c r="D656" s="1">
        <v>53</v>
      </c>
      <c r="E656" s="2" t="s">
        <v>2038</v>
      </c>
      <c r="F656" s="3">
        <v>1</v>
      </c>
      <c r="G656" s="33">
        <v>32874</v>
      </c>
      <c r="H656" s="32">
        <v>45916.791631944441</v>
      </c>
      <c r="I656" s="1"/>
      <c r="J656" s="1"/>
      <c r="K656" s="1"/>
      <c r="L656" s="1"/>
      <c r="M656" s="1"/>
      <c r="P656" s="3"/>
      <c r="R656" s="1"/>
      <c r="S656" s="1"/>
    </row>
    <row r="657" spans="1:19" ht="13.5" x14ac:dyDescent="0.65">
      <c r="A657" s="34">
        <v>656</v>
      </c>
      <c r="B657" s="3" t="s">
        <v>2039</v>
      </c>
      <c r="C657" s="1" t="s">
        <v>2040</v>
      </c>
      <c r="D657" s="1">
        <v>53</v>
      </c>
      <c r="E657" s="2" t="s">
        <v>2041</v>
      </c>
      <c r="F657" s="3">
        <v>1</v>
      </c>
      <c r="G657" s="33">
        <v>32874</v>
      </c>
      <c r="H657" s="32">
        <v>45707.349768518521</v>
      </c>
      <c r="I657" s="1"/>
      <c r="J657" s="1"/>
      <c r="K657" s="1"/>
      <c r="L657" s="1"/>
      <c r="M657" s="1"/>
      <c r="P657" s="3"/>
      <c r="R657" s="1"/>
      <c r="S657" s="1"/>
    </row>
    <row r="658" spans="1:19" ht="13.5" x14ac:dyDescent="0.65">
      <c r="A658" s="34">
        <v>657</v>
      </c>
      <c r="B658" s="3" t="s">
        <v>2042</v>
      </c>
      <c r="C658" s="1" t="s">
        <v>2043</v>
      </c>
      <c r="D658" s="1">
        <v>52</v>
      </c>
      <c r="E658" s="2" t="s">
        <v>2044</v>
      </c>
      <c r="F658" s="3">
        <v>1</v>
      </c>
      <c r="G658" s="33">
        <v>32874</v>
      </c>
      <c r="H658" s="32">
        <v>45916.791747685187</v>
      </c>
      <c r="I658" s="1"/>
      <c r="J658" s="1"/>
      <c r="K658" s="1"/>
      <c r="L658" s="1"/>
      <c r="M658" s="1"/>
      <c r="P658" s="3"/>
      <c r="R658" s="1"/>
      <c r="S658" s="1"/>
    </row>
    <row r="659" spans="1:19" ht="13.5" x14ac:dyDescent="0.65">
      <c r="A659" s="34">
        <v>658</v>
      </c>
      <c r="B659" s="3" t="s">
        <v>2045</v>
      </c>
      <c r="C659" s="1" t="s">
        <v>2046</v>
      </c>
      <c r="D659" s="1">
        <v>52</v>
      </c>
      <c r="E659" s="2" t="s">
        <v>2047</v>
      </c>
      <c r="F659" s="3">
        <v>1</v>
      </c>
      <c r="G659" s="33">
        <v>32874</v>
      </c>
      <c r="H659" s="32">
        <v>45723.571412037039</v>
      </c>
      <c r="I659" s="1"/>
      <c r="J659" s="1"/>
      <c r="K659" s="1"/>
      <c r="L659" s="1"/>
      <c r="M659" s="1"/>
      <c r="P659" s="3"/>
      <c r="R659" s="1"/>
      <c r="S659" s="1"/>
    </row>
    <row r="660" spans="1:19" ht="13.5" x14ac:dyDescent="0.65">
      <c r="A660" s="34">
        <v>659</v>
      </c>
      <c r="B660" s="3" t="s">
        <v>2048</v>
      </c>
      <c r="C660" s="1" t="s">
        <v>2049</v>
      </c>
      <c r="D660" s="1">
        <v>53</v>
      </c>
      <c r="E660" s="2" t="s">
        <v>2050</v>
      </c>
      <c r="F660" s="3">
        <v>1</v>
      </c>
      <c r="G660" s="33">
        <v>32874</v>
      </c>
      <c r="H660" s="32">
        <v>45925.900011574071</v>
      </c>
      <c r="I660" s="1"/>
      <c r="J660" s="1"/>
      <c r="K660" s="1"/>
      <c r="L660" s="1"/>
      <c r="M660" s="1"/>
      <c r="P660" s="3"/>
      <c r="R660" s="1"/>
      <c r="S660" s="1"/>
    </row>
    <row r="661" spans="1:19" ht="13.5" x14ac:dyDescent="0.65">
      <c r="A661" s="34">
        <v>660</v>
      </c>
      <c r="B661" s="3" t="s">
        <v>2051</v>
      </c>
      <c r="C661" s="1" t="s">
        <v>2052</v>
      </c>
      <c r="D661" s="1">
        <v>53</v>
      </c>
      <c r="E661" s="2" t="s">
        <v>2053</v>
      </c>
      <c r="F661" s="3">
        <v>1</v>
      </c>
      <c r="G661" s="33">
        <v>32874</v>
      </c>
      <c r="H661" s="32">
        <v>45728.542037037034</v>
      </c>
      <c r="I661" s="1"/>
      <c r="J661" s="1"/>
      <c r="K661" s="1"/>
      <c r="L661" s="1"/>
      <c r="M661" s="1"/>
      <c r="P661" s="3"/>
      <c r="R661" s="1"/>
      <c r="S661" s="1"/>
    </row>
    <row r="662" spans="1:19" ht="13.5" x14ac:dyDescent="0.65">
      <c r="A662" s="34">
        <v>661</v>
      </c>
      <c r="B662" s="3" t="s">
        <v>2054</v>
      </c>
      <c r="C662" s="1" t="s">
        <v>2055</v>
      </c>
      <c r="D662" s="1">
        <v>53</v>
      </c>
      <c r="E662" s="2" t="s">
        <v>2056</v>
      </c>
      <c r="F662" s="3">
        <v>1</v>
      </c>
      <c r="G662" s="33">
        <v>32874</v>
      </c>
      <c r="H662" s="32">
        <v>45723.573680555557</v>
      </c>
      <c r="I662" s="1"/>
      <c r="J662" s="1"/>
      <c r="K662" s="1"/>
      <c r="L662" s="1"/>
      <c r="M662" s="1"/>
      <c r="P662" s="3"/>
      <c r="R662" s="1"/>
      <c r="S662" s="1"/>
    </row>
    <row r="663" spans="1:19" ht="13.5" x14ac:dyDescent="0.65">
      <c r="A663" s="34">
        <v>662</v>
      </c>
      <c r="B663" s="3" t="s">
        <v>2057</v>
      </c>
      <c r="C663" s="1" t="s">
        <v>2058</v>
      </c>
      <c r="D663" s="1">
        <v>52</v>
      </c>
      <c r="E663" s="2" t="s">
        <v>2059</v>
      </c>
      <c r="F663" s="3">
        <v>1</v>
      </c>
      <c r="G663" s="33">
        <v>32874</v>
      </c>
      <c r="H663" s="32">
        <v>45707.349537037036</v>
      </c>
      <c r="I663" s="1"/>
      <c r="J663" s="1"/>
      <c r="K663" s="1"/>
      <c r="L663" s="1"/>
      <c r="M663" s="1"/>
      <c r="P663" s="3"/>
      <c r="R663" s="1"/>
      <c r="S663" s="1"/>
    </row>
    <row r="664" spans="1:19" ht="13.5" x14ac:dyDescent="0.65">
      <c r="A664" s="34">
        <v>663</v>
      </c>
      <c r="B664" s="3" t="s">
        <v>2060</v>
      </c>
      <c r="C664" s="1" t="s">
        <v>2061</v>
      </c>
      <c r="D664" s="1">
        <v>53</v>
      </c>
      <c r="E664" s="2" t="s">
        <v>2062</v>
      </c>
      <c r="F664" s="3">
        <v>1</v>
      </c>
      <c r="G664" s="33">
        <v>32874</v>
      </c>
      <c r="H664" s="32">
        <v>45707.340868055559</v>
      </c>
      <c r="I664" s="1"/>
      <c r="J664" s="1"/>
      <c r="K664" s="1"/>
      <c r="L664" s="1"/>
      <c r="M664" s="1"/>
      <c r="P664" s="3"/>
      <c r="R664" s="1"/>
      <c r="S664" s="1"/>
    </row>
    <row r="665" spans="1:19" ht="13.5" x14ac:dyDescent="0.65">
      <c r="A665" s="34">
        <v>664</v>
      </c>
      <c r="B665" s="3" t="s">
        <v>2063</v>
      </c>
      <c r="C665" s="1" t="s">
        <v>2064</v>
      </c>
      <c r="D665" s="1">
        <v>53</v>
      </c>
      <c r="E665" s="2" t="s">
        <v>2065</v>
      </c>
      <c r="F665" s="3">
        <v>1</v>
      </c>
      <c r="G665" s="33">
        <v>32874</v>
      </c>
      <c r="H665" s="32">
        <v>45714.758680555555</v>
      </c>
      <c r="I665" s="1"/>
      <c r="J665" s="1"/>
      <c r="K665" s="1"/>
      <c r="L665" s="1"/>
      <c r="M665" s="1"/>
      <c r="P665" s="3"/>
      <c r="R665" s="1"/>
      <c r="S665" s="1"/>
    </row>
    <row r="666" spans="1:19" ht="13.5" x14ac:dyDescent="0.65">
      <c r="A666" s="34">
        <v>665</v>
      </c>
      <c r="B666" s="3" t="s">
        <v>2066</v>
      </c>
      <c r="C666" s="1" t="s">
        <v>2067</v>
      </c>
      <c r="D666" s="1">
        <v>53</v>
      </c>
      <c r="E666" s="2" t="s">
        <v>2068</v>
      </c>
      <c r="F666" s="3">
        <v>1</v>
      </c>
      <c r="G666" s="33">
        <v>32874</v>
      </c>
      <c r="H666" s="32">
        <v>45714.802048611113</v>
      </c>
      <c r="I666" s="1"/>
      <c r="J666" s="1"/>
      <c r="K666" s="1"/>
      <c r="L666" s="1"/>
      <c r="M666" s="1"/>
      <c r="P666" s="3"/>
      <c r="R666" s="1"/>
      <c r="S666" s="1"/>
    </row>
    <row r="667" spans="1:19" ht="13.5" x14ac:dyDescent="0.65">
      <c r="A667" s="34">
        <v>666</v>
      </c>
      <c r="B667" s="3" t="s">
        <v>2069</v>
      </c>
      <c r="C667" s="1" t="s">
        <v>2070</v>
      </c>
      <c r="D667" s="1">
        <v>52</v>
      </c>
      <c r="E667" s="2" t="s">
        <v>2071</v>
      </c>
      <c r="F667" s="3">
        <v>1</v>
      </c>
      <c r="G667" s="33">
        <v>32874</v>
      </c>
      <c r="H667" s="32">
        <v>45922.348761574074</v>
      </c>
      <c r="I667" s="1"/>
      <c r="J667" s="1"/>
      <c r="K667" s="1"/>
      <c r="L667" s="1"/>
      <c r="M667" s="1"/>
      <c r="P667" s="3"/>
      <c r="R667" s="1"/>
      <c r="S667" s="1"/>
    </row>
    <row r="668" spans="1:19" ht="13.5" x14ac:dyDescent="0.65">
      <c r="A668" s="34">
        <v>667</v>
      </c>
      <c r="B668" s="3" t="s">
        <v>2072</v>
      </c>
      <c r="C668" s="1" t="s">
        <v>2073</v>
      </c>
      <c r="D668" s="1">
        <v>53</v>
      </c>
      <c r="E668" s="2" t="s">
        <v>2074</v>
      </c>
      <c r="F668" s="3">
        <v>1</v>
      </c>
      <c r="G668" s="33">
        <v>32874</v>
      </c>
      <c r="H668" s="32">
        <v>45714.835844907408</v>
      </c>
      <c r="I668" s="1"/>
      <c r="J668" s="1"/>
      <c r="K668" s="1"/>
      <c r="L668" s="1"/>
      <c r="M668" s="1"/>
      <c r="P668" s="3"/>
      <c r="R668" s="1"/>
      <c r="S668" s="1"/>
    </row>
    <row r="669" spans="1:19" ht="13.5" x14ac:dyDescent="0.65">
      <c r="A669" s="34">
        <v>668</v>
      </c>
      <c r="B669" s="3" t="s">
        <v>2075</v>
      </c>
      <c r="C669" s="1" t="s">
        <v>2076</v>
      </c>
      <c r="D669" s="1">
        <v>53</v>
      </c>
      <c r="E669" s="2" t="s">
        <v>2077</v>
      </c>
      <c r="F669" s="3">
        <v>1</v>
      </c>
      <c r="G669" s="33">
        <v>32874</v>
      </c>
      <c r="H669" s="32">
        <v>45715.517881944441</v>
      </c>
      <c r="I669" s="1"/>
      <c r="J669" s="1"/>
      <c r="K669" s="1"/>
      <c r="L669" s="1"/>
      <c r="M669" s="1"/>
      <c r="P669" s="3"/>
      <c r="R669" s="1"/>
      <c r="S669" s="1"/>
    </row>
    <row r="670" spans="1:19" ht="13.5" x14ac:dyDescent="0.65">
      <c r="A670" s="34">
        <v>669</v>
      </c>
      <c r="B670" s="3" t="s">
        <v>2078</v>
      </c>
      <c r="C670" s="1" t="s">
        <v>2079</v>
      </c>
      <c r="D670" s="1">
        <v>53</v>
      </c>
      <c r="E670" s="2" t="s">
        <v>2080</v>
      </c>
      <c r="F670" s="3">
        <v>1</v>
      </c>
      <c r="G670" s="33">
        <v>32874</v>
      </c>
      <c r="H670" s="32">
        <v>45714.802800925929</v>
      </c>
      <c r="I670" s="1"/>
      <c r="J670" s="1"/>
      <c r="K670" s="1"/>
      <c r="L670" s="1"/>
      <c r="M670" s="1"/>
      <c r="P670" s="3"/>
      <c r="R670" s="1"/>
      <c r="S670" s="1"/>
    </row>
    <row r="671" spans="1:19" ht="13.5" x14ac:dyDescent="0.65">
      <c r="A671" s="34">
        <v>670</v>
      </c>
      <c r="B671" s="3" t="s">
        <v>2081</v>
      </c>
      <c r="C671" s="1" t="s">
        <v>2082</v>
      </c>
      <c r="D671" s="1">
        <v>52</v>
      </c>
      <c r="E671" s="2" t="s">
        <v>2083</v>
      </c>
      <c r="F671" s="3">
        <v>1</v>
      </c>
      <c r="G671" s="33">
        <v>32874</v>
      </c>
      <c r="H671" s="32">
        <v>45714.773726851854</v>
      </c>
      <c r="I671" s="1"/>
      <c r="J671" s="1"/>
      <c r="K671" s="1"/>
      <c r="L671" s="1"/>
      <c r="M671" s="1"/>
      <c r="P671" s="3"/>
      <c r="R671" s="1"/>
      <c r="S671" s="1"/>
    </row>
    <row r="672" spans="1:19" ht="13.5" x14ac:dyDescent="0.65">
      <c r="A672" s="34">
        <v>671</v>
      </c>
      <c r="B672" s="3" t="s">
        <v>2084</v>
      </c>
      <c r="C672" s="1" t="s">
        <v>2085</v>
      </c>
      <c r="D672" s="1">
        <v>53</v>
      </c>
      <c r="E672" s="2" t="s">
        <v>2086</v>
      </c>
      <c r="F672" s="3">
        <v>1</v>
      </c>
      <c r="G672" s="33">
        <v>32874</v>
      </c>
      <c r="H672" s="32">
        <v>45714.80300925926</v>
      </c>
      <c r="I672" s="1"/>
      <c r="J672" s="1"/>
      <c r="K672" s="1"/>
      <c r="L672" s="1"/>
      <c r="M672" s="1"/>
      <c r="P672" s="3"/>
      <c r="R672" s="1"/>
      <c r="S672" s="1"/>
    </row>
    <row r="673" spans="1:19" ht="13.5" x14ac:dyDescent="0.65">
      <c r="A673" s="34">
        <v>672</v>
      </c>
      <c r="B673" s="3" t="s">
        <v>2087</v>
      </c>
      <c r="C673" s="1" t="s">
        <v>2088</v>
      </c>
      <c r="D673" s="1">
        <v>52</v>
      </c>
      <c r="E673" s="2" t="s">
        <v>2089</v>
      </c>
      <c r="F673" s="3">
        <v>1</v>
      </c>
      <c r="G673" s="33">
        <v>32874</v>
      </c>
      <c r="H673" s="32">
        <v>45715.394780092596</v>
      </c>
      <c r="I673" s="1"/>
      <c r="J673" s="1"/>
      <c r="K673" s="1"/>
      <c r="L673" s="1"/>
      <c r="M673" s="1"/>
      <c r="P673" s="3"/>
      <c r="R673" s="1"/>
      <c r="S673" s="1"/>
    </row>
    <row r="674" spans="1:19" ht="13.5" x14ac:dyDescent="0.65">
      <c r="A674" s="34">
        <v>673</v>
      </c>
      <c r="B674" s="3" t="s">
        <v>2090</v>
      </c>
      <c r="C674" s="1" t="s">
        <v>2091</v>
      </c>
      <c r="D674" s="1">
        <v>53</v>
      </c>
      <c r="E674" s="2" t="s">
        <v>2092</v>
      </c>
      <c r="F674" s="3">
        <v>1</v>
      </c>
      <c r="G674" s="33">
        <v>32874</v>
      </c>
      <c r="H674" s="32">
        <v>45714.823275462964</v>
      </c>
      <c r="I674" s="1"/>
      <c r="J674" s="1"/>
      <c r="K674" s="1"/>
      <c r="L674" s="1"/>
      <c r="M674" s="1"/>
      <c r="P674" s="3"/>
      <c r="R674" s="1"/>
      <c r="S674" s="1"/>
    </row>
    <row r="675" spans="1:19" ht="13.5" x14ac:dyDescent="0.65">
      <c r="A675" s="34">
        <v>674</v>
      </c>
      <c r="B675" s="3" t="s">
        <v>2093</v>
      </c>
      <c r="C675" s="1" t="s">
        <v>2094</v>
      </c>
      <c r="D675" s="1">
        <v>52</v>
      </c>
      <c r="E675" s="2" t="s">
        <v>2095</v>
      </c>
      <c r="F675" s="3">
        <v>1</v>
      </c>
      <c r="G675" s="33">
        <v>32874</v>
      </c>
      <c r="H675" s="32">
        <v>45714.803113425929</v>
      </c>
      <c r="I675" s="1"/>
      <c r="J675" s="1"/>
      <c r="K675" s="1"/>
      <c r="L675" s="1"/>
      <c r="M675" s="1"/>
      <c r="P675" s="3"/>
      <c r="R675" s="1"/>
      <c r="S675" s="1"/>
    </row>
    <row r="676" spans="1:19" ht="13.5" x14ac:dyDescent="0.65">
      <c r="A676" s="34">
        <v>675</v>
      </c>
      <c r="B676" s="3" t="s">
        <v>2096</v>
      </c>
      <c r="C676" s="1" t="s">
        <v>2097</v>
      </c>
      <c r="D676" s="1">
        <v>53</v>
      </c>
      <c r="E676" s="2" t="s">
        <v>2098</v>
      </c>
      <c r="F676" s="3">
        <v>1</v>
      </c>
      <c r="G676" s="33">
        <v>32874</v>
      </c>
      <c r="H676" s="32">
        <v>45714.823495370372</v>
      </c>
      <c r="I676" s="1"/>
      <c r="J676" s="1"/>
      <c r="K676" s="1"/>
      <c r="L676" s="1"/>
      <c r="M676" s="1"/>
      <c r="P676" s="3"/>
      <c r="R676" s="1"/>
      <c r="S676" s="1"/>
    </row>
    <row r="677" spans="1:19" ht="13.5" x14ac:dyDescent="0.65">
      <c r="A677" s="34">
        <v>676</v>
      </c>
      <c r="B677" s="3" t="s">
        <v>2099</v>
      </c>
      <c r="C677" s="1" t="s">
        <v>2100</v>
      </c>
      <c r="D677" s="1">
        <v>53</v>
      </c>
      <c r="E677" s="2" t="s">
        <v>2101</v>
      </c>
      <c r="F677" s="3">
        <v>1</v>
      </c>
      <c r="G677" s="33">
        <v>32874</v>
      </c>
      <c r="H677" s="32">
        <v>45715.453750000001</v>
      </c>
      <c r="I677" s="1"/>
      <c r="J677" s="1"/>
      <c r="K677" s="1"/>
      <c r="L677" s="1"/>
      <c r="M677" s="1"/>
      <c r="P677" s="3"/>
      <c r="R677" s="1"/>
      <c r="S677" s="1"/>
    </row>
    <row r="678" spans="1:19" ht="13.5" x14ac:dyDescent="0.65">
      <c r="A678" s="34">
        <v>677</v>
      </c>
      <c r="B678" s="3" t="s">
        <v>2102</v>
      </c>
      <c r="C678" s="1" t="s">
        <v>2103</v>
      </c>
      <c r="D678" s="1">
        <v>52</v>
      </c>
      <c r="E678" s="2" t="s">
        <v>2104</v>
      </c>
      <c r="F678" s="3">
        <v>1</v>
      </c>
      <c r="G678" s="33">
        <v>32874</v>
      </c>
      <c r="H678" s="32">
        <v>45715.453668981485</v>
      </c>
      <c r="I678" s="1"/>
      <c r="J678" s="1"/>
      <c r="K678" s="1"/>
      <c r="L678" s="1"/>
      <c r="M678" s="1"/>
      <c r="P678" s="3"/>
      <c r="R678" s="1"/>
      <c r="S678" s="1"/>
    </row>
    <row r="679" spans="1:19" ht="13.5" x14ac:dyDescent="0.65">
      <c r="A679" s="34">
        <v>678</v>
      </c>
      <c r="B679" s="3" t="s">
        <v>2105</v>
      </c>
      <c r="C679" s="1" t="s">
        <v>2106</v>
      </c>
      <c r="D679" s="1">
        <v>52</v>
      </c>
      <c r="E679" s="2" t="s">
        <v>2107</v>
      </c>
      <c r="F679" s="3">
        <v>1</v>
      </c>
      <c r="G679" s="33">
        <v>32874</v>
      </c>
      <c r="H679" s="32">
        <v>45723.426550925928</v>
      </c>
      <c r="I679" s="1"/>
      <c r="J679" s="1"/>
      <c r="K679" s="1"/>
      <c r="L679" s="1"/>
      <c r="M679" s="1"/>
      <c r="P679" s="3"/>
      <c r="R679" s="1"/>
      <c r="S679" s="1"/>
    </row>
    <row r="680" spans="1:19" ht="13.5" x14ac:dyDescent="0.65">
      <c r="A680" s="34">
        <v>679</v>
      </c>
      <c r="B680" s="3" t="s">
        <v>2108</v>
      </c>
      <c r="C680" s="1" t="s">
        <v>2109</v>
      </c>
      <c r="D680" s="1">
        <v>52</v>
      </c>
      <c r="E680" s="2" t="s">
        <v>2110</v>
      </c>
      <c r="F680" s="3">
        <v>1</v>
      </c>
      <c r="G680" s="33">
        <v>32874</v>
      </c>
      <c r="H680" s="32">
        <v>45804.467916666668</v>
      </c>
      <c r="I680" s="1"/>
      <c r="J680" s="1"/>
      <c r="K680" s="1"/>
      <c r="L680" s="1"/>
      <c r="M680" s="1"/>
      <c r="P680" s="3"/>
      <c r="R680" s="1"/>
      <c r="S680" s="1"/>
    </row>
    <row r="681" spans="1:19" ht="13.5" x14ac:dyDescent="0.65">
      <c r="A681" s="34">
        <v>680</v>
      </c>
      <c r="B681" s="3" t="s">
        <v>2111</v>
      </c>
      <c r="C681" s="1" t="s">
        <v>2112</v>
      </c>
      <c r="D681" s="1">
        <v>52</v>
      </c>
      <c r="E681" s="2" t="s">
        <v>2113</v>
      </c>
      <c r="F681" s="3">
        <v>1</v>
      </c>
      <c r="G681" s="33">
        <v>32874</v>
      </c>
      <c r="H681" s="32">
        <v>45867.734756944446</v>
      </c>
      <c r="I681" s="1"/>
      <c r="J681" s="1"/>
      <c r="K681" s="1"/>
      <c r="L681" s="1"/>
      <c r="M681" s="1"/>
      <c r="P681" s="3"/>
      <c r="R681" s="1"/>
      <c r="S681" s="1"/>
    </row>
    <row r="682" spans="1:19" ht="13.5" x14ac:dyDescent="0.65">
      <c r="A682" s="34">
        <v>681</v>
      </c>
      <c r="B682" s="3" t="s">
        <v>2114</v>
      </c>
      <c r="C682" s="1" t="s">
        <v>2115</v>
      </c>
      <c r="D682" s="1">
        <v>52</v>
      </c>
      <c r="E682" s="2" t="s">
        <v>2116</v>
      </c>
      <c r="F682" s="3">
        <v>1</v>
      </c>
      <c r="G682" s="33">
        <v>32874</v>
      </c>
      <c r="H682" s="32">
        <v>45707.349317129629</v>
      </c>
      <c r="I682" s="1"/>
      <c r="J682" s="1"/>
      <c r="K682" s="1"/>
      <c r="L682" s="1"/>
      <c r="M682" s="1"/>
      <c r="P682" s="3"/>
      <c r="R682" s="1"/>
      <c r="S682" s="1"/>
    </row>
    <row r="683" spans="1:19" ht="13.5" x14ac:dyDescent="0.65">
      <c r="A683" s="34">
        <v>682</v>
      </c>
      <c r="B683" s="3" t="s">
        <v>2117</v>
      </c>
      <c r="C683" s="1" t="s">
        <v>2118</v>
      </c>
      <c r="D683" s="1">
        <v>52</v>
      </c>
      <c r="E683" s="2" t="s">
        <v>2119</v>
      </c>
      <c r="F683" s="3">
        <v>1</v>
      </c>
      <c r="G683" s="33">
        <v>32874</v>
      </c>
      <c r="H683" s="32">
        <v>45723.426724537036</v>
      </c>
      <c r="I683" s="1"/>
      <c r="J683" s="1"/>
      <c r="K683" s="1"/>
      <c r="L683" s="1"/>
      <c r="M683" s="1"/>
      <c r="P683" s="3"/>
      <c r="R683" s="1"/>
      <c r="S683" s="1"/>
    </row>
    <row r="684" spans="1:19" ht="13.5" x14ac:dyDescent="0.65">
      <c r="A684" s="34">
        <v>683</v>
      </c>
      <c r="B684" s="3" t="s">
        <v>2120</v>
      </c>
      <c r="C684" s="1" t="s">
        <v>2121</v>
      </c>
      <c r="D684" s="1">
        <v>52</v>
      </c>
      <c r="E684" s="2" t="s">
        <v>2122</v>
      </c>
      <c r="F684" s="3">
        <v>1</v>
      </c>
      <c r="G684" s="33">
        <v>32874</v>
      </c>
      <c r="H684" s="32">
        <v>45715.453587962962</v>
      </c>
      <c r="I684" s="1"/>
      <c r="J684" s="1"/>
      <c r="K684" s="1"/>
      <c r="L684" s="1"/>
      <c r="M684" s="1"/>
      <c r="P684" s="3"/>
      <c r="R684" s="1"/>
      <c r="S684" s="1"/>
    </row>
    <row r="685" spans="1:19" ht="13.5" x14ac:dyDescent="0.65">
      <c r="A685" s="34">
        <v>684</v>
      </c>
      <c r="B685" s="3" t="s">
        <v>2123</v>
      </c>
      <c r="C685" s="1" t="s">
        <v>2124</v>
      </c>
      <c r="D685" s="1">
        <v>53</v>
      </c>
      <c r="E685" s="2" t="s">
        <v>2125</v>
      </c>
      <c r="F685" s="3">
        <v>1</v>
      </c>
      <c r="G685" s="33">
        <v>32874</v>
      </c>
      <c r="H685" s="32">
        <v>45862.818032407406</v>
      </c>
      <c r="I685" s="1"/>
      <c r="J685" s="1"/>
      <c r="K685" s="1"/>
      <c r="L685" s="1"/>
      <c r="M685" s="1"/>
      <c r="P685" s="3"/>
      <c r="R685" s="1"/>
      <c r="S685" s="1"/>
    </row>
    <row r="686" spans="1:19" ht="13.5" x14ac:dyDescent="0.65">
      <c r="A686" s="34">
        <v>685</v>
      </c>
      <c r="B686" s="3" t="s">
        <v>2126</v>
      </c>
      <c r="C686" s="1" t="s">
        <v>2127</v>
      </c>
      <c r="D686" s="1">
        <v>52</v>
      </c>
      <c r="E686" s="2" t="s">
        <v>2128</v>
      </c>
      <c r="F686" s="3">
        <v>1</v>
      </c>
      <c r="G686" s="33">
        <v>32874</v>
      </c>
      <c r="H686" s="32">
        <v>45713.373518518521</v>
      </c>
      <c r="I686" s="1"/>
      <c r="J686" s="1"/>
      <c r="K686" s="1"/>
      <c r="L686" s="1"/>
      <c r="M686" s="1"/>
      <c r="P686" s="3"/>
      <c r="R686" s="1"/>
      <c r="S686" s="1"/>
    </row>
    <row r="687" spans="1:19" ht="13.5" x14ac:dyDescent="0.65">
      <c r="A687" s="34">
        <v>686</v>
      </c>
      <c r="B687" s="3" t="s">
        <v>2129</v>
      </c>
      <c r="C687" s="1" t="s">
        <v>2130</v>
      </c>
      <c r="D687" s="1">
        <v>53</v>
      </c>
      <c r="E687" s="2" t="s">
        <v>2131</v>
      </c>
      <c r="F687" s="3">
        <v>1</v>
      </c>
      <c r="G687" s="33">
        <v>32874</v>
      </c>
      <c r="H687" s="32">
        <v>45715.453530092593</v>
      </c>
      <c r="I687" s="1"/>
      <c r="J687" s="1"/>
      <c r="K687" s="1"/>
      <c r="L687" s="1"/>
      <c r="M687" s="1"/>
      <c r="P687" s="3"/>
      <c r="R687" s="1"/>
      <c r="S687" s="1"/>
    </row>
    <row r="688" spans="1:19" ht="13.5" x14ac:dyDescent="0.65">
      <c r="A688" s="34">
        <v>687</v>
      </c>
      <c r="B688" s="3" t="s">
        <v>2132</v>
      </c>
      <c r="C688" s="1" t="s">
        <v>2133</v>
      </c>
      <c r="D688" s="1">
        <v>53</v>
      </c>
      <c r="E688" s="2" t="s">
        <v>2134</v>
      </c>
      <c r="F688" s="3">
        <v>1</v>
      </c>
      <c r="G688" s="33">
        <v>32874</v>
      </c>
      <c r="H688" s="32">
        <v>45715.453460648147</v>
      </c>
      <c r="I688" s="1"/>
      <c r="J688" s="1"/>
      <c r="K688" s="1"/>
      <c r="L688" s="1"/>
      <c r="M688" s="1"/>
      <c r="P688" s="3"/>
      <c r="R688" s="1"/>
      <c r="S688" s="1"/>
    </row>
    <row r="689" spans="1:19" ht="13.5" x14ac:dyDescent="0.65">
      <c r="A689" s="34">
        <v>688</v>
      </c>
      <c r="B689" s="3" t="s">
        <v>2135</v>
      </c>
      <c r="C689" s="1" t="s">
        <v>2136</v>
      </c>
      <c r="D689" s="1">
        <v>53</v>
      </c>
      <c r="E689" s="2" t="s">
        <v>2137</v>
      </c>
      <c r="F689" s="3">
        <v>1</v>
      </c>
      <c r="G689" s="33">
        <v>32874</v>
      </c>
      <c r="H689" s="32">
        <v>45715.453287037039</v>
      </c>
      <c r="I689" s="1"/>
      <c r="J689" s="1"/>
      <c r="K689" s="1"/>
      <c r="L689" s="1"/>
      <c r="M689" s="1"/>
      <c r="P689" s="3"/>
      <c r="R689" s="1"/>
      <c r="S689" s="1"/>
    </row>
    <row r="690" spans="1:19" ht="13.5" x14ac:dyDescent="0.65">
      <c r="A690" s="34">
        <v>689</v>
      </c>
      <c r="B690" s="3" t="s">
        <v>2138</v>
      </c>
      <c r="C690" s="1" t="s">
        <v>2139</v>
      </c>
      <c r="D690" s="1">
        <v>53</v>
      </c>
      <c r="E690" s="2" t="s">
        <v>2140</v>
      </c>
      <c r="F690" s="3">
        <v>1</v>
      </c>
      <c r="G690" s="33">
        <v>32874</v>
      </c>
      <c r="H690" s="32">
        <v>45715.452048611114</v>
      </c>
      <c r="I690" s="1"/>
      <c r="J690" s="1"/>
      <c r="K690" s="1"/>
      <c r="L690" s="1"/>
      <c r="M690" s="1"/>
      <c r="P690" s="3"/>
      <c r="R690" s="1"/>
      <c r="S690" s="1"/>
    </row>
    <row r="691" spans="1:19" ht="13.5" x14ac:dyDescent="0.65">
      <c r="A691" s="34">
        <v>690</v>
      </c>
      <c r="B691" s="3" t="s">
        <v>2141</v>
      </c>
      <c r="C691" s="1" t="s">
        <v>2142</v>
      </c>
      <c r="D691" s="1">
        <v>52</v>
      </c>
      <c r="E691" s="2" t="s">
        <v>2143</v>
      </c>
      <c r="F691" s="3">
        <v>1</v>
      </c>
      <c r="G691" s="33">
        <v>32874</v>
      </c>
      <c r="H691" s="32">
        <v>45715.451874999999</v>
      </c>
      <c r="I691" s="1"/>
      <c r="J691" s="1"/>
      <c r="K691" s="1"/>
      <c r="L691" s="1"/>
      <c r="M691" s="1"/>
      <c r="P691" s="3"/>
      <c r="R691" s="1"/>
      <c r="S691" s="1"/>
    </row>
    <row r="692" spans="1:19" ht="13.5" x14ac:dyDescent="0.65">
      <c r="A692" s="34">
        <v>691</v>
      </c>
      <c r="B692" s="3" t="s">
        <v>2144</v>
      </c>
      <c r="C692" s="1" t="s">
        <v>2145</v>
      </c>
      <c r="D692" s="1">
        <v>53</v>
      </c>
      <c r="E692" s="2" t="s">
        <v>2146</v>
      </c>
      <c r="F692" s="3">
        <v>1</v>
      </c>
      <c r="G692" s="33">
        <v>32874</v>
      </c>
      <c r="H692" s="32">
        <v>45713.373425925929</v>
      </c>
      <c r="I692" s="1"/>
      <c r="J692" s="1"/>
      <c r="K692" s="1"/>
      <c r="L692" s="1"/>
      <c r="M692" s="1"/>
      <c r="P692" s="3"/>
      <c r="R692" s="1"/>
      <c r="S692" s="1"/>
    </row>
    <row r="693" spans="1:19" ht="13.5" x14ac:dyDescent="0.65">
      <c r="A693" s="34">
        <v>692</v>
      </c>
      <c r="B693" s="3" t="s">
        <v>2147</v>
      </c>
      <c r="C693" s="1" t="s">
        <v>2148</v>
      </c>
      <c r="D693" s="1">
        <v>52</v>
      </c>
      <c r="E693" s="2" t="s">
        <v>2149</v>
      </c>
      <c r="F693" s="3">
        <v>1</v>
      </c>
      <c r="G693" s="33">
        <v>32874</v>
      </c>
      <c r="H693" s="32">
        <v>45707.341145833336</v>
      </c>
      <c r="I693" s="1"/>
      <c r="J693" s="1"/>
      <c r="K693" s="1"/>
      <c r="L693" s="1"/>
      <c r="M693" s="1"/>
      <c r="P693" s="3"/>
      <c r="R693" s="1"/>
      <c r="S693" s="1"/>
    </row>
    <row r="694" spans="1:19" ht="13.5" x14ac:dyDescent="0.65">
      <c r="A694" s="34">
        <v>693</v>
      </c>
      <c r="B694" s="3" t="s">
        <v>2150</v>
      </c>
      <c r="C694" s="1" t="s">
        <v>2151</v>
      </c>
      <c r="D694" s="1">
        <v>53</v>
      </c>
      <c r="E694" s="2" t="s">
        <v>2152</v>
      </c>
      <c r="F694" s="3">
        <v>1</v>
      </c>
      <c r="G694" s="33">
        <v>32874</v>
      </c>
      <c r="H694" s="32">
        <v>45707.341273148151</v>
      </c>
      <c r="I694" s="1"/>
      <c r="J694" s="1"/>
      <c r="K694" s="1"/>
      <c r="L694" s="1"/>
      <c r="M694" s="1"/>
      <c r="P694" s="3"/>
      <c r="R694" s="1"/>
      <c r="S694" s="1"/>
    </row>
    <row r="695" spans="1:19" ht="13.5" x14ac:dyDescent="0.65">
      <c r="A695" s="34">
        <v>694</v>
      </c>
      <c r="B695" s="3" t="s">
        <v>2153</v>
      </c>
      <c r="C695" s="1" t="s">
        <v>2154</v>
      </c>
      <c r="D695" s="1">
        <v>53</v>
      </c>
      <c r="E695" s="2" t="s">
        <v>2155</v>
      </c>
      <c r="F695" s="3">
        <v>1</v>
      </c>
      <c r="G695" s="33">
        <v>32874</v>
      </c>
      <c r="H695" s="32">
        <v>45710.636006944442</v>
      </c>
      <c r="I695" s="1"/>
      <c r="J695" s="1"/>
      <c r="K695" s="1"/>
      <c r="L695" s="1"/>
      <c r="M695" s="1"/>
      <c r="P695" s="3"/>
      <c r="R695" s="1"/>
      <c r="S695" s="1"/>
    </row>
    <row r="696" spans="1:19" ht="13.5" x14ac:dyDescent="0.65">
      <c r="A696" s="34">
        <v>695</v>
      </c>
      <c r="B696" s="3" t="s">
        <v>2156</v>
      </c>
      <c r="C696" s="1" t="s">
        <v>2157</v>
      </c>
      <c r="D696" s="1">
        <v>53</v>
      </c>
      <c r="E696" s="2" t="s">
        <v>2158</v>
      </c>
      <c r="F696" s="3">
        <v>1</v>
      </c>
      <c r="G696" s="33">
        <v>32874</v>
      </c>
      <c r="H696" s="32">
        <v>45715.451689814814</v>
      </c>
      <c r="I696" s="1"/>
      <c r="J696" s="1"/>
      <c r="K696" s="1"/>
      <c r="L696" s="1"/>
      <c r="M696" s="1"/>
      <c r="P696" s="3"/>
      <c r="R696" s="1"/>
      <c r="S696" s="1"/>
    </row>
    <row r="697" spans="1:19" ht="13.5" x14ac:dyDescent="0.65">
      <c r="A697" s="34">
        <v>696</v>
      </c>
      <c r="B697" s="3" t="s">
        <v>2159</v>
      </c>
      <c r="C697" s="1" t="s">
        <v>2160</v>
      </c>
      <c r="D697" s="1">
        <v>52</v>
      </c>
      <c r="E697" s="2" t="s">
        <v>2161</v>
      </c>
      <c r="F697" s="3">
        <v>1</v>
      </c>
      <c r="G697" s="33">
        <v>32874</v>
      </c>
      <c r="H697" s="32">
        <v>45702.606863425928</v>
      </c>
      <c r="I697" s="1"/>
      <c r="J697" s="1"/>
      <c r="K697" s="1"/>
      <c r="L697" s="1"/>
      <c r="M697" s="1"/>
      <c r="P697" s="3"/>
      <c r="R697" s="1"/>
      <c r="S697" s="1"/>
    </row>
    <row r="698" spans="1:19" ht="13.5" x14ac:dyDescent="0.65">
      <c r="A698" s="34">
        <v>697</v>
      </c>
      <c r="B698" s="3" t="s">
        <v>2162</v>
      </c>
      <c r="C698" s="1" t="s">
        <v>2163</v>
      </c>
      <c r="D698" s="1">
        <v>53</v>
      </c>
      <c r="E698" s="2" t="s">
        <v>2164</v>
      </c>
      <c r="F698" s="3">
        <v>1</v>
      </c>
      <c r="G698" s="33">
        <v>32874</v>
      </c>
      <c r="H698" s="32">
        <v>45707.341412037036</v>
      </c>
      <c r="I698" s="1"/>
      <c r="J698" s="1"/>
      <c r="K698" s="1"/>
      <c r="L698" s="1"/>
      <c r="M698" s="1"/>
      <c r="P698" s="3"/>
      <c r="R698" s="1"/>
      <c r="S698" s="1"/>
    </row>
    <row r="699" spans="1:19" ht="13.5" x14ac:dyDescent="0.65">
      <c r="A699" s="34">
        <v>698</v>
      </c>
      <c r="B699" s="3" t="s">
        <v>2165</v>
      </c>
      <c r="C699" s="1" t="s">
        <v>2166</v>
      </c>
      <c r="D699" s="1">
        <v>53</v>
      </c>
      <c r="E699" s="2" t="s">
        <v>2167</v>
      </c>
      <c r="F699" s="3">
        <v>1</v>
      </c>
      <c r="G699" s="33">
        <v>32874</v>
      </c>
      <c r="H699" s="32">
        <v>45715.451631944445</v>
      </c>
      <c r="I699" s="1"/>
      <c r="J699" s="1"/>
      <c r="K699" s="1"/>
      <c r="L699" s="1"/>
      <c r="M699" s="1"/>
      <c r="P699" s="3"/>
      <c r="R699" s="1"/>
      <c r="S699" s="1"/>
    </row>
    <row r="700" spans="1:19" ht="13.5" x14ac:dyDescent="0.65">
      <c r="A700" s="34">
        <v>699</v>
      </c>
      <c r="B700" s="3" t="s">
        <v>2168</v>
      </c>
      <c r="C700" s="1" t="s">
        <v>2169</v>
      </c>
      <c r="D700" s="1">
        <v>53</v>
      </c>
      <c r="E700" s="2" t="s">
        <v>2170</v>
      </c>
      <c r="F700" s="3">
        <v>1</v>
      </c>
      <c r="G700" s="33">
        <v>32874</v>
      </c>
      <c r="H700" s="32">
        <v>45710.635925925926</v>
      </c>
      <c r="I700" s="1"/>
      <c r="J700" s="1"/>
      <c r="K700" s="1"/>
      <c r="L700" s="1"/>
      <c r="M700" s="1"/>
      <c r="P700" s="3"/>
      <c r="R700" s="1"/>
      <c r="S700" s="1"/>
    </row>
    <row r="701" spans="1:19" ht="13.5" x14ac:dyDescent="0.65">
      <c r="A701" s="34">
        <v>700</v>
      </c>
      <c r="B701" s="3" t="s">
        <v>2171</v>
      </c>
      <c r="C701" s="1" t="s">
        <v>2172</v>
      </c>
      <c r="D701" s="1">
        <v>52</v>
      </c>
      <c r="E701" s="2" t="s">
        <v>2173</v>
      </c>
      <c r="F701" s="3">
        <v>1</v>
      </c>
      <c r="G701" s="33">
        <v>32874</v>
      </c>
      <c r="H701" s="32">
        <v>45715.451782407406</v>
      </c>
      <c r="I701" s="1"/>
      <c r="J701" s="1"/>
      <c r="K701" s="1"/>
      <c r="L701" s="1"/>
      <c r="M701" s="1"/>
      <c r="P701" s="3"/>
      <c r="R701" s="1"/>
      <c r="S701" s="1"/>
    </row>
    <row r="702" spans="1:19" ht="13.5" x14ac:dyDescent="0.65">
      <c r="A702" s="34">
        <v>701</v>
      </c>
      <c r="B702" s="3" t="s">
        <v>2174</v>
      </c>
      <c r="C702" s="1" t="s">
        <v>2175</v>
      </c>
      <c r="D702" s="1">
        <v>52</v>
      </c>
      <c r="E702" s="2" t="s">
        <v>2176</v>
      </c>
      <c r="F702" s="3">
        <v>1</v>
      </c>
      <c r="G702" s="33">
        <v>32874</v>
      </c>
      <c r="H702" s="32">
        <v>45710.635844907411</v>
      </c>
      <c r="I702" s="1"/>
      <c r="J702" s="1"/>
      <c r="K702" s="1"/>
      <c r="L702" s="1"/>
      <c r="M702" s="1"/>
      <c r="P702" s="3"/>
      <c r="R702" s="1"/>
      <c r="S702" s="1"/>
    </row>
    <row r="703" spans="1:19" ht="13.5" x14ac:dyDescent="0.65">
      <c r="A703" s="34">
        <v>702</v>
      </c>
      <c r="B703" s="3" t="s">
        <v>2177</v>
      </c>
      <c r="C703" s="1" t="s">
        <v>2178</v>
      </c>
      <c r="D703" s="1">
        <v>53</v>
      </c>
      <c r="E703" s="2" t="s">
        <v>2179</v>
      </c>
      <c r="F703" s="3">
        <v>1</v>
      </c>
      <c r="G703" s="33">
        <v>32874</v>
      </c>
      <c r="H703" s="32">
        <v>45710.635763888888</v>
      </c>
      <c r="I703" s="1"/>
      <c r="J703" s="1"/>
      <c r="K703" s="1"/>
      <c r="L703" s="1"/>
      <c r="M703" s="1"/>
      <c r="P703" s="3"/>
      <c r="R703" s="1"/>
      <c r="S703" s="1"/>
    </row>
    <row r="704" spans="1:19" ht="13.5" x14ac:dyDescent="0.65">
      <c r="A704" s="34">
        <v>703</v>
      </c>
      <c r="B704" s="3" t="s">
        <v>2180</v>
      </c>
      <c r="C704" s="1" t="s">
        <v>2181</v>
      </c>
      <c r="D704" s="1">
        <v>52</v>
      </c>
      <c r="E704" s="2" t="s">
        <v>2182</v>
      </c>
      <c r="F704" s="3">
        <v>1</v>
      </c>
      <c r="G704" s="33">
        <v>32874</v>
      </c>
      <c r="H704" s="32">
        <v>45707.341539351852</v>
      </c>
      <c r="I704" s="1"/>
      <c r="J704" s="1"/>
      <c r="K704" s="1"/>
      <c r="L704" s="1"/>
      <c r="M704" s="1"/>
      <c r="P704" s="3"/>
      <c r="R704" s="1"/>
      <c r="S704" s="1"/>
    </row>
    <row r="705" spans="1:19" ht="13.5" x14ac:dyDescent="0.65">
      <c r="A705" s="34">
        <v>704</v>
      </c>
      <c r="B705" s="3" t="s">
        <v>2183</v>
      </c>
      <c r="C705" s="1" t="s">
        <v>2184</v>
      </c>
      <c r="D705" s="1">
        <v>52</v>
      </c>
      <c r="E705" s="2" t="s">
        <v>2185</v>
      </c>
      <c r="F705" s="3">
        <v>1</v>
      </c>
      <c r="G705" s="33">
        <v>32874</v>
      </c>
      <c r="H705" s="32">
        <v>45713.373287037037</v>
      </c>
      <c r="I705" s="1"/>
      <c r="J705" s="1"/>
      <c r="K705" s="1"/>
      <c r="L705" s="1"/>
      <c r="M705" s="1"/>
      <c r="P705" s="3"/>
      <c r="R705" s="1"/>
      <c r="S705" s="1"/>
    </row>
    <row r="706" spans="1:19" ht="13.5" x14ac:dyDescent="0.65">
      <c r="A706" s="34">
        <v>705</v>
      </c>
      <c r="B706" s="3" t="s">
        <v>2186</v>
      </c>
      <c r="C706" s="1" t="s">
        <v>2187</v>
      </c>
      <c r="D706" s="1">
        <v>53</v>
      </c>
      <c r="E706" s="2" t="s">
        <v>2188</v>
      </c>
      <c r="F706" s="3">
        <v>1</v>
      </c>
      <c r="G706" s="33">
        <v>32874</v>
      </c>
      <c r="H706" s="32">
        <v>45707.341678240744</v>
      </c>
      <c r="I706" s="1"/>
      <c r="J706" s="1"/>
      <c r="K706" s="1"/>
      <c r="L706" s="1"/>
      <c r="M706" s="1"/>
      <c r="P706" s="3"/>
      <c r="R706" s="1"/>
      <c r="S706" s="1"/>
    </row>
    <row r="707" spans="1:19" ht="13.5" x14ac:dyDescent="0.65">
      <c r="A707" s="34">
        <v>706</v>
      </c>
      <c r="B707" s="3" t="s">
        <v>2189</v>
      </c>
      <c r="C707" s="1" t="s">
        <v>2190</v>
      </c>
      <c r="D707" s="1">
        <v>52</v>
      </c>
      <c r="E707" s="2" t="s">
        <v>2191</v>
      </c>
      <c r="F707" s="3">
        <v>1</v>
      </c>
      <c r="G707" s="33">
        <v>32874</v>
      </c>
      <c r="H707" s="32">
        <v>45716.73028935185</v>
      </c>
      <c r="I707" s="1"/>
      <c r="J707" s="1"/>
      <c r="K707" s="1"/>
      <c r="L707" s="1"/>
      <c r="M707" s="1"/>
      <c r="P707" s="3"/>
      <c r="R707" s="1"/>
      <c r="S707" s="1"/>
    </row>
    <row r="708" spans="1:19" ht="13.5" x14ac:dyDescent="0.65">
      <c r="A708" s="34">
        <v>707</v>
      </c>
      <c r="B708" s="3" t="s">
        <v>2192</v>
      </c>
      <c r="C708" s="1" t="s">
        <v>2193</v>
      </c>
      <c r="D708" s="1">
        <v>52</v>
      </c>
      <c r="E708" s="2" t="s">
        <v>2191</v>
      </c>
      <c r="F708" s="3">
        <v>1</v>
      </c>
      <c r="G708" s="33">
        <v>32874</v>
      </c>
      <c r="H708" s="32">
        <v>45721.404236111113</v>
      </c>
      <c r="I708" s="1"/>
      <c r="J708" s="1"/>
      <c r="K708" s="1"/>
      <c r="L708" s="1"/>
      <c r="M708" s="1"/>
      <c r="P708" s="3"/>
      <c r="R708" s="1"/>
      <c r="S708" s="1"/>
    </row>
    <row r="709" spans="1:19" ht="13.5" x14ac:dyDescent="0.65">
      <c r="A709" s="34">
        <v>708</v>
      </c>
      <c r="B709" s="3" t="s">
        <v>2194</v>
      </c>
      <c r="C709" s="1" t="s">
        <v>2195</v>
      </c>
      <c r="D709" s="1">
        <v>53</v>
      </c>
      <c r="E709" s="2" t="s">
        <v>2191</v>
      </c>
      <c r="F709" s="3">
        <v>1</v>
      </c>
      <c r="G709" s="33">
        <v>32874</v>
      </c>
      <c r="H709" s="32">
        <v>45916.624143518522</v>
      </c>
      <c r="I709" s="1"/>
      <c r="J709" s="1"/>
      <c r="K709" s="1"/>
      <c r="L709" s="1"/>
      <c r="M709" s="1"/>
      <c r="P709" s="3"/>
      <c r="R709" s="1"/>
      <c r="S709" s="1"/>
    </row>
    <row r="710" spans="1:19" ht="13.5" x14ac:dyDescent="0.65">
      <c r="A710" s="34">
        <v>709</v>
      </c>
      <c r="B710" s="3" t="s">
        <v>2194</v>
      </c>
      <c r="C710" s="1" t="s">
        <v>2195</v>
      </c>
      <c r="D710" s="1">
        <v>53</v>
      </c>
      <c r="E710" s="2" t="s">
        <v>2191</v>
      </c>
      <c r="F710" s="3">
        <v>1</v>
      </c>
      <c r="G710" s="33">
        <v>32874</v>
      </c>
      <c r="H710" s="32">
        <v>45916.624143518522</v>
      </c>
      <c r="I710" s="1"/>
      <c r="J710" s="1"/>
      <c r="K710" s="1"/>
      <c r="L710" s="1"/>
      <c r="M710" s="1"/>
      <c r="P710" s="3"/>
      <c r="R710" s="1"/>
      <c r="S710" s="1"/>
    </row>
    <row r="711" spans="1:19" ht="13.5" x14ac:dyDescent="0.65">
      <c r="A711" s="34">
        <v>710</v>
      </c>
      <c r="B711" s="3" t="s">
        <v>2194</v>
      </c>
      <c r="C711" s="1" t="s">
        <v>2195</v>
      </c>
      <c r="D711" s="1">
        <v>53</v>
      </c>
      <c r="E711" s="2" t="s">
        <v>2191</v>
      </c>
      <c r="F711" s="3">
        <v>1</v>
      </c>
      <c r="G711" s="33">
        <v>32874</v>
      </c>
      <c r="H711" s="32">
        <v>45916.624143518522</v>
      </c>
      <c r="I711" s="1"/>
      <c r="J711" s="1"/>
      <c r="K711" s="1"/>
      <c r="L711" s="1"/>
      <c r="M711" s="1"/>
      <c r="P711" s="3"/>
      <c r="R711" s="1"/>
      <c r="S711" s="1"/>
    </row>
    <row r="712" spans="1:19" ht="13.5" x14ac:dyDescent="0.65">
      <c r="A712" s="34">
        <v>711</v>
      </c>
      <c r="B712" s="3" t="s">
        <v>2196</v>
      </c>
      <c r="C712" s="1" t="s">
        <v>2197</v>
      </c>
      <c r="D712" s="1">
        <v>52</v>
      </c>
      <c r="E712" s="2" t="s">
        <v>2198</v>
      </c>
      <c r="F712" s="3">
        <v>1</v>
      </c>
      <c r="G712" s="33">
        <v>32874</v>
      </c>
      <c r="H712" s="28">
        <v>45804.447662037041</v>
      </c>
      <c r="I712" s="1"/>
      <c r="J712" s="1"/>
      <c r="K712" s="1"/>
      <c r="L712" s="1"/>
      <c r="M712" s="1"/>
      <c r="P712" s="3"/>
      <c r="R712" s="1"/>
      <c r="S712" s="1"/>
    </row>
    <row r="713" spans="1:19" ht="13.5" x14ac:dyDescent="0.65">
      <c r="A713" s="34">
        <v>712</v>
      </c>
      <c r="B713" s="3" t="s">
        <v>2199</v>
      </c>
      <c r="C713" s="1" t="s">
        <v>2200</v>
      </c>
      <c r="D713" s="1">
        <v>52</v>
      </c>
      <c r="E713" s="2" t="s">
        <v>2201</v>
      </c>
      <c r="F713" s="3">
        <v>1</v>
      </c>
      <c r="G713" s="33">
        <v>32874</v>
      </c>
      <c r="H713" s="28">
        <v>45716.774594907409</v>
      </c>
      <c r="I713" s="1"/>
      <c r="J713" s="1"/>
      <c r="K713" s="1"/>
      <c r="L713" s="1"/>
      <c r="M713" s="1"/>
      <c r="P713" s="3"/>
      <c r="R713" s="1"/>
      <c r="S713" s="1"/>
    </row>
    <row r="714" spans="1:19" ht="13.5" x14ac:dyDescent="0.65">
      <c r="A714" s="34">
        <v>713</v>
      </c>
      <c r="B714" s="3" t="s">
        <v>2202</v>
      </c>
      <c r="C714" s="1" t="s">
        <v>2203</v>
      </c>
      <c r="D714" s="1">
        <v>53</v>
      </c>
      <c r="E714" s="2" t="s">
        <v>2204</v>
      </c>
      <c r="F714" s="3">
        <v>1</v>
      </c>
      <c r="G714" s="33">
        <v>32874</v>
      </c>
      <c r="H714" s="28">
        <v>45804.537175925929</v>
      </c>
      <c r="I714" s="1"/>
      <c r="J714" s="1"/>
      <c r="K714" s="1"/>
      <c r="L714" s="1"/>
      <c r="M714" s="1"/>
      <c r="P714" s="3"/>
      <c r="R714" s="1"/>
      <c r="S714" s="1"/>
    </row>
    <row r="715" spans="1:19" ht="13.5" x14ac:dyDescent="0.65">
      <c r="A715" s="34">
        <v>714</v>
      </c>
      <c r="B715" s="3" t="s">
        <v>2205</v>
      </c>
      <c r="C715" s="1" t="s">
        <v>2206</v>
      </c>
      <c r="D715" s="1">
        <v>53</v>
      </c>
      <c r="E715" s="2" t="s">
        <v>2207</v>
      </c>
      <c r="F715" s="3">
        <v>1</v>
      </c>
      <c r="G715" s="33">
        <v>32874</v>
      </c>
      <c r="H715" s="28">
        <v>45804.537060185183</v>
      </c>
      <c r="I715" s="1"/>
      <c r="J715" s="1"/>
      <c r="K715" s="1"/>
      <c r="L715" s="1"/>
      <c r="M715" s="1"/>
      <c r="P715" s="3"/>
      <c r="R715" s="1"/>
      <c r="S715" s="1"/>
    </row>
    <row r="716" spans="1:19" ht="13.5" x14ac:dyDescent="0.65">
      <c r="A716" s="34">
        <v>715</v>
      </c>
      <c r="B716" s="3" t="s">
        <v>2208</v>
      </c>
      <c r="C716" s="1" t="s">
        <v>2209</v>
      </c>
      <c r="D716" s="1">
        <v>53</v>
      </c>
      <c r="E716" s="2" t="s">
        <v>2210</v>
      </c>
      <c r="F716" s="3">
        <v>1</v>
      </c>
      <c r="G716" s="33">
        <v>32874</v>
      </c>
      <c r="H716" s="28">
        <v>45702.606516203705</v>
      </c>
      <c r="I716" s="1"/>
      <c r="J716" s="1"/>
      <c r="K716" s="1"/>
      <c r="L716" s="1"/>
      <c r="M716" s="1"/>
      <c r="P716" s="3"/>
      <c r="R716" s="1"/>
      <c r="S716" s="1"/>
    </row>
    <row r="717" spans="1:19" ht="13.5" x14ac:dyDescent="0.65">
      <c r="A717" s="34">
        <v>716</v>
      </c>
      <c r="B717" s="3" t="s">
        <v>2211</v>
      </c>
      <c r="C717" s="1" t="s">
        <v>2212</v>
      </c>
      <c r="D717" s="1">
        <v>53</v>
      </c>
      <c r="E717" s="2" t="s">
        <v>2213</v>
      </c>
      <c r="F717" s="3">
        <v>1</v>
      </c>
      <c r="G717" s="33">
        <v>32874</v>
      </c>
      <c r="H717" s="28">
        <v>45707.348958333336</v>
      </c>
      <c r="I717" s="1"/>
      <c r="J717" s="1"/>
      <c r="K717" s="1"/>
      <c r="L717" s="1"/>
      <c r="M717" s="1"/>
      <c r="P717" s="3"/>
      <c r="R717" s="1"/>
      <c r="S717" s="1"/>
    </row>
    <row r="718" spans="1:19" ht="13.5" x14ac:dyDescent="0.65">
      <c r="A718" s="34">
        <v>717</v>
      </c>
      <c r="B718" s="3" t="s">
        <v>2214</v>
      </c>
      <c r="C718" s="1" t="s">
        <v>2215</v>
      </c>
      <c r="D718" s="1">
        <v>52</v>
      </c>
      <c r="E718" s="2" t="s">
        <v>2216</v>
      </c>
      <c r="F718" s="3">
        <v>1</v>
      </c>
      <c r="G718" s="33">
        <v>32874</v>
      </c>
      <c r="H718" s="28">
        <v>45707.34920138889</v>
      </c>
      <c r="I718" s="1"/>
      <c r="J718" s="1"/>
      <c r="K718" s="1"/>
      <c r="L718" s="1"/>
      <c r="M718" s="1"/>
      <c r="P718" s="3"/>
      <c r="R718" s="1"/>
      <c r="S718" s="1"/>
    </row>
    <row r="719" spans="1:19" ht="13.5" x14ac:dyDescent="0.65">
      <c r="A719" s="34">
        <v>718</v>
      </c>
      <c r="B719" s="3" t="s">
        <v>2217</v>
      </c>
      <c r="C719" s="1" t="s">
        <v>2040</v>
      </c>
      <c r="D719" s="1">
        <v>54</v>
      </c>
      <c r="E719" s="2" t="s">
        <v>2218</v>
      </c>
      <c r="F719" s="3">
        <v>1</v>
      </c>
      <c r="G719" s="33">
        <v>32874</v>
      </c>
      <c r="H719" s="28">
        <v>45866.70988425926</v>
      </c>
      <c r="I719" s="1"/>
      <c r="J719" s="1"/>
      <c r="K719" s="1"/>
      <c r="L719" s="1"/>
      <c r="M719" s="1"/>
      <c r="P719" s="3"/>
    </row>
    <row r="720" spans="1:19" ht="13.5" x14ac:dyDescent="0.65">
      <c r="A720" s="34">
        <v>719</v>
      </c>
      <c r="B720" s="3" t="s">
        <v>2220</v>
      </c>
      <c r="C720" s="1" t="s">
        <v>2148</v>
      </c>
      <c r="D720" s="1">
        <v>54</v>
      </c>
      <c r="E720" s="2" t="s">
        <v>2221</v>
      </c>
      <c r="F720" s="3">
        <v>1</v>
      </c>
      <c r="G720" s="33">
        <v>32874</v>
      </c>
      <c r="H720" s="28">
        <v>45723.401180555556</v>
      </c>
      <c r="I720" s="1"/>
      <c r="J720" s="1"/>
      <c r="K720" s="1"/>
      <c r="L720" s="1"/>
      <c r="M720" s="1"/>
      <c r="P720" s="3"/>
    </row>
    <row r="721" spans="1:19" ht="13.5" x14ac:dyDescent="0.65">
      <c r="A721" s="34">
        <v>720</v>
      </c>
      <c r="B721" s="3" t="s">
        <v>2222</v>
      </c>
      <c r="C721" s="1" t="s">
        <v>2223</v>
      </c>
      <c r="D721" s="1">
        <v>54</v>
      </c>
      <c r="E721" s="2" t="s">
        <v>2224</v>
      </c>
      <c r="F721" s="3">
        <v>1</v>
      </c>
      <c r="G721" s="33">
        <v>32874</v>
      </c>
      <c r="H721" s="28">
        <v>45721.697592592594</v>
      </c>
      <c r="I721" s="1"/>
      <c r="J721" s="1"/>
      <c r="K721" s="1"/>
      <c r="L721" s="1"/>
      <c r="M721" s="1"/>
      <c r="P721" s="3"/>
    </row>
    <row r="722" spans="1:19" ht="13.5" x14ac:dyDescent="0.65">
      <c r="A722" s="34">
        <v>721</v>
      </c>
      <c r="B722" s="3" t="s">
        <v>2225</v>
      </c>
      <c r="C722" s="1" t="s">
        <v>2226</v>
      </c>
      <c r="D722" s="1">
        <v>54</v>
      </c>
      <c r="E722" s="2" t="s">
        <v>2227</v>
      </c>
      <c r="F722" s="3">
        <v>1</v>
      </c>
      <c r="G722" s="33">
        <v>32874</v>
      </c>
      <c r="H722" s="28">
        <v>45721.697465277779</v>
      </c>
      <c r="I722" s="1"/>
      <c r="J722" s="1"/>
      <c r="K722" s="1"/>
      <c r="L722" s="1"/>
      <c r="M722" s="1"/>
      <c r="P722" s="3"/>
    </row>
    <row r="723" spans="1:19" ht="13.5" x14ac:dyDescent="0.65">
      <c r="A723" s="34">
        <v>722</v>
      </c>
      <c r="B723" s="3" t="s">
        <v>2228</v>
      </c>
      <c r="C723" s="1" t="s">
        <v>2133</v>
      </c>
      <c r="D723" s="1">
        <v>54</v>
      </c>
      <c r="E723" s="2" t="s">
        <v>2229</v>
      </c>
      <c r="F723" s="3">
        <v>1</v>
      </c>
      <c r="G723" s="33">
        <v>32874</v>
      </c>
      <c r="H723" s="28">
        <v>45721.69730324074</v>
      </c>
      <c r="I723" s="1"/>
      <c r="J723" s="1"/>
      <c r="K723" s="1"/>
      <c r="L723" s="1"/>
      <c r="M723" s="1"/>
      <c r="P723" s="3"/>
    </row>
    <row r="724" spans="1:19" ht="13.5" x14ac:dyDescent="0.65">
      <c r="A724" s="34">
        <v>723</v>
      </c>
      <c r="B724" s="3" t="s">
        <v>2230</v>
      </c>
      <c r="C724" s="1" t="s">
        <v>2231</v>
      </c>
      <c r="D724" s="1">
        <v>54</v>
      </c>
      <c r="E724" s="2" t="s">
        <v>2232</v>
      </c>
      <c r="F724" s="3">
        <v>1</v>
      </c>
      <c r="G724" s="33">
        <v>32874</v>
      </c>
      <c r="H724" s="28">
        <v>45721.697141203702</v>
      </c>
      <c r="I724" s="1"/>
      <c r="J724" s="1"/>
      <c r="K724" s="1"/>
      <c r="L724" s="1"/>
      <c r="M724" s="1"/>
      <c r="P724" s="3"/>
    </row>
    <row r="725" spans="1:19" ht="13.5" x14ac:dyDescent="0.65">
      <c r="A725" s="34">
        <v>724</v>
      </c>
      <c r="B725" s="3" t="s">
        <v>2233</v>
      </c>
      <c r="C725" s="1" t="s">
        <v>2234</v>
      </c>
      <c r="D725" s="1">
        <v>54</v>
      </c>
      <c r="E725" s="2" t="s">
        <v>2235</v>
      </c>
      <c r="F725" s="3">
        <v>1</v>
      </c>
      <c r="G725" s="33">
        <v>32874</v>
      </c>
      <c r="H725" s="28">
        <v>45721.476504629631</v>
      </c>
      <c r="I725" s="1"/>
      <c r="J725" s="1"/>
      <c r="K725" s="1"/>
      <c r="L725" s="1"/>
      <c r="M725" s="1"/>
      <c r="P725" s="3"/>
    </row>
    <row r="726" spans="1:19" ht="13.5" x14ac:dyDescent="0.65">
      <c r="A726" s="34">
        <v>725</v>
      </c>
      <c r="B726" s="3" t="s">
        <v>2236</v>
      </c>
      <c r="C726" s="1" t="s">
        <v>2237</v>
      </c>
      <c r="D726" s="1">
        <v>54</v>
      </c>
      <c r="E726" s="2" t="s">
        <v>2238</v>
      </c>
      <c r="F726" s="3">
        <v>1</v>
      </c>
      <c r="G726" s="33">
        <v>32874</v>
      </c>
      <c r="H726" s="28">
        <v>45720.457025462965</v>
      </c>
      <c r="I726" s="1"/>
      <c r="J726" s="1"/>
      <c r="K726" s="1"/>
      <c r="L726" s="1"/>
      <c r="M726" s="1"/>
      <c r="P726" s="3"/>
    </row>
    <row r="727" spans="1:19" ht="13.5" x14ac:dyDescent="0.65">
      <c r="A727" s="34">
        <v>726</v>
      </c>
      <c r="B727" s="3" t="s">
        <v>2239</v>
      </c>
      <c r="C727" s="1" t="s">
        <v>2240</v>
      </c>
      <c r="D727" s="1">
        <v>54</v>
      </c>
      <c r="E727" s="2" t="s">
        <v>2241</v>
      </c>
      <c r="F727" s="3">
        <v>1</v>
      </c>
      <c r="G727" s="33">
        <v>32874</v>
      </c>
      <c r="H727" s="28">
        <v>45716.730162037034</v>
      </c>
      <c r="I727" s="1"/>
      <c r="J727" s="1"/>
      <c r="K727" s="1"/>
      <c r="L727" s="1"/>
      <c r="M727" s="1"/>
      <c r="P727" s="3"/>
    </row>
    <row r="728" spans="1:19" ht="13.5" x14ac:dyDescent="0.65">
      <c r="A728" s="34">
        <v>727</v>
      </c>
      <c r="B728" s="3" t="s">
        <v>2242</v>
      </c>
      <c r="C728" s="1" t="s">
        <v>2064</v>
      </c>
      <c r="D728" s="1">
        <v>54</v>
      </c>
      <c r="E728" s="2" t="s">
        <v>2243</v>
      </c>
      <c r="F728" s="3">
        <v>1</v>
      </c>
      <c r="G728" s="33">
        <v>32874</v>
      </c>
      <c r="H728" s="28">
        <v>45715.532118055555</v>
      </c>
      <c r="I728" s="1"/>
      <c r="J728" s="1"/>
      <c r="K728" s="1"/>
      <c r="L728" s="1"/>
      <c r="M728" s="1"/>
      <c r="P728" s="3"/>
    </row>
    <row r="729" spans="1:19" ht="13.5" x14ac:dyDescent="0.65">
      <c r="A729" s="34">
        <v>728</v>
      </c>
      <c r="B729" s="3" t="s">
        <v>2244</v>
      </c>
      <c r="C729" s="1" t="s">
        <v>2245</v>
      </c>
      <c r="D729" s="1">
        <v>49</v>
      </c>
      <c r="E729" s="2" t="s">
        <v>2246</v>
      </c>
      <c r="F729" s="3">
        <v>1</v>
      </c>
      <c r="G729" s="33">
        <v>32874</v>
      </c>
      <c r="H729" s="32">
        <v>42037</v>
      </c>
      <c r="I729" s="1"/>
      <c r="J729" s="1"/>
      <c r="K729" s="1"/>
      <c r="L729" s="1"/>
      <c r="M729" s="1"/>
      <c r="P729" s="3"/>
      <c r="R729" s="1"/>
      <c r="S729" s="1"/>
    </row>
    <row r="730" spans="1:19" ht="13.5" x14ac:dyDescent="0.65">
      <c r="A730" s="34">
        <v>729</v>
      </c>
      <c r="B730" s="3" t="s">
        <v>2248</v>
      </c>
      <c r="C730" s="1" t="s">
        <v>2249</v>
      </c>
      <c r="D730" s="1">
        <v>49</v>
      </c>
      <c r="E730" s="2" t="s">
        <v>2250</v>
      </c>
      <c r="F730" s="3">
        <v>1</v>
      </c>
      <c r="G730" s="33">
        <v>32874</v>
      </c>
      <c r="H730" s="32">
        <v>42948</v>
      </c>
      <c r="I730" s="1"/>
      <c r="J730" s="1"/>
      <c r="K730" s="1"/>
      <c r="L730" s="1"/>
      <c r="M730" s="1"/>
      <c r="P730" s="3"/>
      <c r="R730" s="1"/>
      <c r="S730" s="1"/>
    </row>
    <row r="731" spans="1:19" ht="13.5" x14ac:dyDescent="0.65">
      <c r="A731" s="34">
        <v>730</v>
      </c>
      <c r="B731" s="3" t="s">
        <v>2251</v>
      </c>
      <c r="C731" s="1" t="s">
        <v>2252</v>
      </c>
      <c r="D731" s="1">
        <v>49</v>
      </c>
      <c r="E731" s="2" t="s">
        <v>2253</v>
      </c>
      <c r="F731" s="3">
        <v>1</v>
      </c>
      <c r="G731" s="33">
        <v>32874</v>
      </c>
      <c r="H731" s="32">
        <v>43921</v>
      </c>
      <c r="I731" s="1"/>
      <c r="J731" s="1"/>
      <c r="K731" s="1"/>
      <c r="L731" s="1"/>
      <c r="M731" s="1"/>
      <c r="P731" s="3"/>
      <c r="R731" s="1"/>
      <c r="S731" s="1"/>
    </row>
    <row r="732" spans="1:19" ht="13.5" x14ac:dyDescent="0.65">
      <c r="A732" s="34">
        <v>731</v>
      </c>
      <c r="B732" s="3" t="s">
        <v>2254</v>
      </c>
      <c r="C732" s="1" t="s">
        <v>2255</v>
      </c>
      <c r="D732" s="1">
        <v>49</v>
      </c>
      <c r="E732" s="2" t="s">
        <v>2256</v>
      </c>
      <c r="F732" s="3">
        <v>1</v>
      </c>
      <c r="G732" s="33">
        <v>32874</v>
      </c>
      <c r="H732" s="32">
        <v>41365</v>
      </c>
      <c r="I732" s="1"/>
      <c r="J732" s="1"/>
      <c r="K732" s="1"/>
      <c r="L732" s="1"/>
      <c r="M732" s="1"/>
      <c r="P732" s="3"/>
      <c r="R732" s="1"/>
      <c r="S732" s="1"/>
    </row>
    <row r="733" spans="1:19" ht="13.5" x14ac:dyDescent="0.65">
      <c r="A733" s="34">
        <v>732</v>
      </c>
      <c r="B733" s="3" t="s">
        <v>2257</v>
      </c>
      <c r="C733" s="1" t="s">
        <v>2258</v>
      </c>
      <c r="D733" s="1">
        <v>49</v>
      </c>
      <c r="E733" s="2" t="s">
        <v>2259</v>
      </c>
      <c r="F733" s="3">
        <v>1</v>
      </c>
      <c r="G733" s="33">
        <v>32874</v>
      </c>
      <c r="H733" s="32">
        <v>41589</v>
      </c>
      <c r="I733" s="1"/>
      <c r="J733" s="1"/>
      <c r="K733" s="1"/>
      <c r="L733" s="1"/>
      <c r="M733" s="1"/>
      <c r="P733" s="3"/>
      <c r="R733" s="1"/>
      <c r="S733" s="1"/>
    </row>
    <row r="734" spans="1:19" ht="13.5" x14ac:dyDescent="0.65">
      <c r="A734" s="34">
        <v>733</v>
      </c>
      <c r="B734" s="3" t="s">
        <v>2260</v>
      </c>
      <c r="C734" s="1" t="s">
        <v>2261</v>
      </c>
      <c r="D734" s="1">
        <v>49</v>
      </c>
      <c r="E734" s="2" t="s">
        <v>2262</v>
      </c>
      <c r="F734" s="3">
        <v>1</v>
      </c>
      <c r="G734" s="33">
        <v>32874</v>
      </c>
      <c r="H734" s="32">
        <v>41365</v>
      </c>
      <c r="I734" s="1"/>
      <c r="J734" s="1"/>
      <c r="K734" s="1"/>
      <c r="L734" s="1"/>
      <c r="M734" s="1"/>
      <c r="P734" s="3"/>
      <c r="R734" s="1"/>
      <c r="S734" s="1"/>
    </row>
    <row r="735" spans="1:19" ht="13.5" x14ac:dyDescent="0.65">
      <c r="A735" s="34">
        <v>734</v>
      </c>
      <c r="B735" s="3" t="s">
        <v>2263</v>
      </c>
      <c r="C735" s="1" t="s">
        <v>2264</v>
      </c>
      <c r="D735" s="1">
        <v>48</v>
      </c>
      <c r="E735" s="2" t="s">
        <v>2265</v>
      </c>
      <c r="F735" s="3">
        <v>1</v>
      </c>
      <c r="G735" s="33">
        <v>32874</v>
      </c>
      <c r="H735" s="32">
        <v>41365</v>
      </c>
      <c r="I735" s="1"/>
      <c r="J735" s="1"/>
      <c r="K735" s="1"/>
      <c r="L735" s="1"/>
      <c r="M735" s="1"/>
      <c r="P735" s="3"/>
      <c r="R735" s="1"/>
      <c r="S735" s="1"/>
    </row>
    <row r="736" spans="1:19" ht="13.5" x14ac:dyDescent="0.65">
      <c r="A736" s="34">
        <v>735</v>
      </c>
      <c r="B736" s="3" t="s">
        <v>2267</v>
      </c>
      <c r="C736" s="1" t="s">
        <v>2268</v>
      </c>
      <c r="D736" s="1">
        <v>48</v>
      </c>
      <c r="E736" s="2" t="s">
        <v>2269</v>
      </c>
      <c r="F736" s="3">
        <v>1</v>
      </c>
      <c r="G736" s="33">
        <v>32874</v>
      </c>
      <c r="H736" s="32">
        <v>41365</v>
      </c>
      <c r="I736" s="1"/>
      <c r="J736" s="1"/>
      <c r="K736" s="1"/>
      <c r="L736" s="1"/>
      <c r="M736" s="1"/>
      <c r="P736" s="3"/>
      <c r="R736" s="1"/>
      <c r="S736" s="1"/>
    </row>
    <row r="737" spans="1:19" ht="13.5" x14ac:dyDescent="0.65">
      <c r="A737" s="34">
        <v>736</v>
      </c>
      <c r="B737" s="3" t="s">
        <v>2270</v>
      </c>
      <c r="C737" s="1" t="s">
        <v>2271</v>
      </c>
      <c r="D737" s="1">
        <v>49</v>
      </c>
      <c r="E737" s="2" t="s">
        <v>2272</v>
      </c>
      <c r="F737" s="3">
        <v>1</v>
      </c>
      <c r="G737" s="33">
        <v>32874</v>
      </c>
      <c r="H737" s="32">
        <v>41365</v>
      </c>
      <c r="I737" s="1"/>
      <c r="J737" s="1"/>
      <c r="K737" s="1"/>
      <c r="L737" s="1"/>
      <c r="M737" s="1"/>
      <c r="P737" s="3"/>
      <c r="R737" s="1"/>
      <c r="S737" s="1"/>
    </row>
    <row r="738" spans="1:19" ht="13.5" x14ac:dyDescent="0.65">
      <c r="A738" s="34">
        <v>737</v>
      </c>
      <c r="B738" s="3" t="s">
        <v>2274</v>
      </c>
      <c r="C738" s="1" t="s">
        <v>2275</v>
      </c>
      <c r="D738" s="1">
        <v>49</v>
      </c>
      <c r="E738" s="2" t="s">
        <v>2276</v>
      </c>
      <c r="F738" s="3">
        <v>1</v>
      </c>
      <c r="G738" s="33">
        <v>32874</v>
      </c>
      <c r="H738" s="32">
        <v>41365</v>
      </c>
      <c r="I738" s="1"/>
      <c r="J738" s="1"/>
      <c r="K738" s="1"/>
      <c r="L738" s="1"/>
      <c r="M738" s="1"/>
      <c r="P738" s="3"/>
      <c r="R738" s="1"/>
      <c r="S738" s="1"/>
    </row>
    <row r="739" spans="1:19" ht="13.5" x14ac:dyDescent="0.65">
      <c r="A739" s="34">
        <v>738</v>
      </c>
      <c r="B739" s="3" t="s">
        <v>2277</v>
      </c>
      <c r="C739" s="1" t="s">
        <v>2278</v>
      </c>
      <c r="D739" s="1">
        <v>49</v>
      </c>
      <c r="E739" s="2" t="s">
        <v>2279</v>
      </c>
      <c r="F739" s="3">
        <v>1</v>
      </c>
      <c r="G739" s="33">
        <v>32874</v>
      </c>
      <c r="H739" s="32">
        <v>41365</v>
      </c>
      <c r="I739" s="1"/>
      <c r="J739" s="1"/>
      <c r="K739" s="1"/>
      <c r="L739" s="1"/>
      <c r="M739" s="1"/>
      <c r="P739" s="3"/>
      <c r="R739" s="1"/>
      <c r="S739" s="1"/>
    </row>
    <row r="740" spans="1:19" ht="13.5" x14ac:dyDescent="0.65">
      <c r="A740" s="34">
        <v>739</v>
      </c>
      <c r="B740" s="3" t="s">
        <v>2280</v>
      </c>
      <c r="C740" s="1" t="s">
        <v>2281</v>
      </c>
      <c r="D740" s="1">
        <v>50</v>
      </c>
      <c r="E740" s="2" t="s">
        <v>2282</v>
      </c>
      <c r="F740" s="3">
        <v>1</v>
      </c>
      <c r="G740" s="33">
        <v>32874</v>
      </c>
      <c r="H740" s="32">
        <v>41365</v>
      </c>
      <c r="I740" s="1"/>
      <c r="J740" s="1"/>
      <c r="K740" s="1"/>
      <c r="L740" s="1"/>
      <c r="M740" s="1"/>
      <c r="P740" s="3"/>
      <c r="R740" s="1"/>
      <c r="S740" s="1"/>
    </row>
    <row r="741" spans="1:19" ht="13.5" x14ac:dyDescent="0.65">
      <c r="A741" s="34">
        <v>740</v>
      </c>
      <c r="B741" s="3" t="s">
        <v>2284</v>
      </c>
      <c r="C741" s="1" t="s">
        <v>2285</v>
      </c>
      <c r="D741" s="1">
        <v>50</v>
      </c>
      <c r="E741" s="2" t="s">
        <v>2286</v>
      </c>
      <c r="F741" s="3">
        <v>1</v>
      </c>
      <c r="G741" s="33">
        <v>32874</v>
      </c>
      <c r="H741" s="32">
        <v>41365</v>
      </c>
      <c r="I741" s="1"/>
      <c r="J741" s="1"/>
      <c r="K741" s="1"/>
      <c r="L741" s="1"/>
      <c r="M741" s="1"/>
      <c r="P741" s="3"/>
      <c r="R741" s="1"/>
      <c r="S741" s="1"/>
    </row>
    <row r="742" spans="1:19" ht="13.5" x14ac:dyDescent="0.65">
      <c r="A742" s="34">
        <v>741</v>
      </c>
      <c r="B742" s="3" t="s">
        <v>2287</v>
      </c>
      <c r="C742" s="1" t="s">
        <v>2288</v>
      </c>
      <c r="D742" s="1">
        <v>51</v>
      </c>
      <c r="E742" s="2" t="s">
        <v>2289</v>
      </c>
      <c r="F742" s="3">
        <v>1</v>
      </c>
      <c r="G742" s="33">
        <v>32874</v>
      </c>
      <c r="H742" s="32">
        <v>41365</v>
      </c>
      <c r="I742" s="1"/>
      <c r="J742" s="1"/>
      <c r="K742" s="1"/>
      <c r="L742" s="1"/>
      <c r="M742" s="1"/>
      <c r="P742" s="3"/>
      <c r="R742" s="1"/>
      <c r="S742" s="1"/>
    </row>
    <row r="743" spans="1:19" ht="13.5" x14ac:dyDescent="0.65">
      <c r="A743" s="34">
        <v>742</v>
      </c>
      <c r="B743" s="3" t="s">
        <v>2291</v>
      </c>
      <c r="C743" s="1" t="s">
        <v>2292</v>
      </c>
      <c r="D743" s="1">
        <v>51</v>
      </c>
      <c r="E743" s="2" t="s">
        <v>2293</v>
      </c>
      <c r="F743" s="3">
        <v>1</v>
      </c>
      <c r="G743" s="33">
        <v>32874</v>
      </c>
      <c r="H743" s="32">
        <v>45621</v>
      </c>
      <c r="I743" s="1"/>
      <c r="J743" s="1"/>
      <c r="K743" s="1"/>
      <c r="L743" s="1"/>
      <c r="M743" s="1"/>
      <c r="P743" s="3"/>
      <c r="R743" s="1"/>
      <c r="S743" s="1"/>
    </row>
    <row r="744" spans="1:19" ht="13.5" x14ac:dyDescent="0.65">
      <c r="A744" s="34">
        <v>743</v>
      </c>
      <c r="B744" s="3" t="s">
        <v>2294</v>
      </c>
      <c r="C744" s="1" t="s">
        <v>2295</v>
      </c>
      <c r="D744" s="1">
        <v>51</v>
      </c>
      <c r="E744" s="2" t="s">
        <v>2296</v>
      </c>
      <c r="F744" s="3">
        <v>1</v>
      </c>
      <c r="G744" s="33">
        <v>32874</v>
      </c>
      <c r="H744" s="32">
        <v>42037</v>
      </c>
      <c r="I744" s="1"/>
      <c r="J744" s="1"/>
      <c r="K744" s="1"/>
      <c r="L744" s="1"/>
      <c r="M744" s="1"/>
      <c r="P744" s="3"/>
      <c r="R744" s="1"/>
      <c r="S744" s="1"/>
    </row>
    <row r="745" spans="1:19" ht="13.5" x14ac:dyDescent="0.65">
      <c r="A745" s="34">
        <v>744</v>
      </c>
      <c r="B745" s="3" t="s">
        <v>2297</v>
      </c>
      <c r="C745" s="1" t="s">
        <v>2298</v>
      </c>
      <c r="D745" s="1">
        <v>55</v>
      </c>
      <c r="E745" s="2" t="s">
        <v>2299</v>
      </c>
      <c r="F745" s="3">
        <v>1</v>
      </c>
      <c r="G745" s="33">
        <v>32874</v>
      </c>
      <c r="H745" s="28">
        <v>45685.514872685184</v>
      </c>
      <c r="I745" s="1"/>
      <c r="J745" s="1"/>
      <c r="K745" s="1"/>
      <c r="L745" s="1"/>
      <c r="M745" s="1"/>
      <c r="P745" s="3"/>
      <c r="R745" s="1"/>
      <c r="S745" s="1"/>
    </row>
    <row r="746" spans="1:19" ht="13.5" x14ac:dyDescent="0.65">
      <c r="A746" s="34">
        <v>745</v>
      </c>
      <c r="B746" s="3" t="s">
        <v>2301</v>
      </c>
      <c r="C746" s="1" t="s">
        <v>2302</v>
      </c>
      <c r="D746" s="1">
        <v>55</v>
      </c>
      <c r="E746" s="2" t="s">
        <v>2303</v>
      </c>
      <c r="F746" s="3">
        <v>1</v>
      </c>
      <c r="G746" s="33">
        <v>32874</v>
      </c>
      <c r="H746" s="28">
        <v>45805.626215277778</v>
      </c>
      <c r="I746" s="1"/>
      <c r="J746" s="1"/>
      <c r="K746" s="1"/>
      <c r="L746" s="1"/>
      <c r="M746" s="1"/>
      <c r="P746" s="3"/>
      <c r="R746" s="1"/>
      <c r="S746" s="1"/>
    </row>
    <row r="747" spans="1:19" ht="13.5" x14ac:dyDescent="0.65">
      <c r="A747" s="34">
        <v>746</v>
      </c>
      <c r="B747" s="3" t="s">
        <v>2304</v>
      </c>
      <c r="C747" s="1" t="s">
        <v>2305</v>
      </c>
      <c r="D747" s="1">
        <v>55</v>
      </c>
      <c r="E747" s="2" t="s">
        <v>2306</v>
      </c>
      <c r="F747" s="3">
        <v>1</v>
      </c>
      <c r="G747" s="33">
        <v>32874</v>
      </c>
      <c r="H747" s="28">
        <v>45805.622361111113</v>
      </c>
      <c r="I747" s="1"/>
      <c r="J747" s="1"/>
      <c r="K747" s="1"/>
      <c r="L747" s="1"/>
      <c r="M747" s="1"/>
      <c r="P747" s="3"/>
      <c r="R747" s="1"/>
      <c r="S747" s="1"/>
    </row>
    <row r="748" spans="1:19" ht="13.5" x14ac:dyDescent="0.65">
      <c r="A748" s="34">
        <v>747</v>
      </c>
      <c r="B748" s="3" t="s">
        <v>2307</v>
      </c>
      <c r="C748" s="1" t="s">
        <v>2308</v>
      </c>
      <c r="D748" s="1">
        <v>55</v>
      </c>
      <c r="E748" s="2" t="s">
        <v>2309</v>
      </c>
      <c r="F748" s="3">
        <v>1</v>
      </c>
      <c r="G748" s="33">
        <v>32874</v>
      </c>
      <c r="H748" s="28">
        <v>45803.79383101852</v>
      </c>
      <c r="I748" s="1"/>
      <c r="J748" s="1"/>
      <c r="K748" s="1"/>
      <c r="L748" s="1"/>
      <c r="M748" s="1"/>
      <c r="P748" s="3"/>
      <c r="R748" s="1"/>
      <c r="S748" s="1"/>
    </row>
    <row r="749" spans="1:19" ht="13.5" x14ac:dyDescent="0.65">
      <c r="A749" s="34">
        <v>748</v>
      </c>
      <c r="B749" s="3" t="s">
        <v>2310</v>
      </c>
      <c r="C749" s="1" t="s">
        <v>425</v>
      </c>
      <c r="D749" s="1">
        <v>55</v>
      </c>
      <c r="E749" s="2" t="s">
        <v>2311</v>
      </c>
      <c r="F749" s="3">
        <v>1</v>
      </c>
      <c r="G749" s="33">
        <v>32874</v>
      </c>
      <c r="H749" s="28">
        <v>45805.626550925925</v>
      </c>
      <c r="I749" s="1"/>
      <c r="J749" s="1"/>
      <c r="K749" s="1"/>
      <c r="L749" s="1"/>
      <c r="M749" s="1"/>
      <c r="P749" s="3"/>
      <c r="R749" s="1"/>
      <c r="S749" s="1"/>
    </row>
    <row r="750" spans="1:19" ht="13.5" x14ac:dyDescent="0.65">
      <c r="A750" s="34">
        <v>749</v>
      </c>
      <c r="B750" s="3" t="s">
        <v>2312</v>
      </c>
      <c r="C750" s="1" t="s">
        <v>2313</v>
      </c>
      <c r="D750" s="1">
        <v>55</v>
      </c>
      <c r="E750" s="2" t="s">
        <v>2314</v>
      </c>
      <c r="F750" s="3">
        <v>1</v>
      </c>
      <c r="G750" s="33">
        <v>32874</v>
      </c>
      <c r="H750" s="28">
        <v>45805.606192129628</v>
      </c>
      <c r="I750" s="1"/>
      <c r="J750" s="1"/>
      <c r="K750" s="1"/>
      <c r="L750" s="1"/>
      <c r="M750" s="1"/>
      <c r="P750" s="3"/>
      <c r="R750" s="1"/>
      <c r="S750" s="1"/>
    </row>
    <row r="751" spans="1:19" ht="13.5" x14ac:dyDescent="0.65">
      <c r="A751" s="34">
        <v>750</v>
      </c>
      <c r="B751" s="3" t="s">
        <v>2315</v>
      </c>
      <c r="C751" s="1" t="s">
        <v>2316</v>
      </c>
      <c r="D751" s="1">
        <v>55</v>
      </c>
      <c r="E751" s="2" t="s">
        <v>2317</v>
      </c>
      <c r="F751" s="3">
        <v>1</v>
      </c>
      <c r="G751" s="33">
        <v>32874</v>
      </c>
      <c r="H751" s="28">
        <v>45702.607071759259</v>
      </c>
      <c r="I751" s="1"/>
      <c r="J751" s="1"/>
      <c r="K751" s="1"/>
      <c r="L751" s="1"/>
      <c r="M751" s="1"/>
      <c r="P751" s="3"/>
      <c r="R751" s="1"/>
      <c r="S751" s="1"/>
    </row>
    <row r="752" spans="1:19" ht="13.5" x14ac:dyDescent="0.65">
      <c r="A752" s="34">
        <v>751</v>
      </c>
      <c r="B752" s="3" t="s">
        <v>2318</v>
      </c>
      <c r="C752" s="1" t="s">
        <v>2319</v>
      </c>
      <c r="D752" s="1">
        <v>55</v>
      </c>
      <c r="E752" s="2" t="s">
        <v>2320</v>
      </c>
      <c r="F752" s="3">
        <v>1</v>
      </c>
      <c r="G752" s="33">
        <v>32874</v>
      </c>
      <c r="H752" s="28">
        <v>45720.471238425926</v>
      </c>
      <c r="I752" s="1"/>
      <c r="J752" s="1"/>
      <c r="K752" s="1"/>
      <c r="L752" s="1"/>
      <c r="M752" s="1"/>
      <c r="P752" s="3"/>
      <c r="R752" s="1"/>
      <c r="S752" s="1"/>
    </row>
    <row r="753" spans="1:19" ht="13.5" x14ac:dyDescent="0.65">
      <c r="A753" s="34">
        <v>752</v>
      </c>
      <c r="B753" s="3" t="s">
        <v>2321</v>
      </c>
      <c r="C753" s="1" t="s">
        <v>2322</v>
      </c>
      <c r="D753" s="1">
        <v>55</v>
      </c>
      <c r="E753" s="2" t="s">
        <v>2323</v>
      </c>
      <c r="F753" s="3">
        <v>1</v>
      </c>
      <c r="G753" s="33">
        <v>32874</v>
      </c>
      <c r="H753" s="28">
        <v>45702.797835648147</v>
      </c>
      <c r="I753" s="1"/>
      <c r="J753" s="1"/>
      <c r="K753" s="1"/>
      <c r="L753" s="1"/>
      <c r="M753" s="1"/>
      <c r="P753" s="3"/>
      <c r="R753" s="1"/>
      <c r="S753" s="1"/>
    </row>
    <row r="754" spans="1:19" ht="13.5" x14ac:dyDescent="0.65">
      <c r="A754" s="34">
        <v>753</v>
      </c>
      <c r="B754" s="3" t="s">
        <v>2324</v>
      </c>
      <c r="C754" s="1" t="s">
        <v>2325</v>
      </c>
      <c r="D754" s="1">
        <v>55</v>
      </c>
      <c r="E754" s="2" t="s">
        <v>2326</v>
      </c>
      <c r="F754" s="3">
        <v>1</v>
      </c>
      <c r="G754" s="33">
        <v>32874</v>
      </c>
      <c r="H754" s="28">
        <v>45922.457233796296</v>
      </c>
      <c r="I754" s="1"/>
      <c r="J754" s="1"/>
      <c r="K754" s="1"/>
      <c r="L754" s="1"/>
      <c r="M754" s="1"/>
      <c r="P754" s="3"/>
      <c r="R754" s="1"/>
      <c r="S754" s="1"/>
    </row>
    <row r="755" spans="1:19" ht="13.5" x14ac:dyDescent="0.65">
      <c r="A755" s="34">
        <v>754</v>
      </c>
      <c r="B755" s="3" t="s">
        <v>2327</v>
      </c>
      <c r="C755" s="1" t="s">
        <v>2328</v>
      </c>
      <c r="D755" s="1">
        <v>55</v>
      </c>
      <c r="E755" s="2" t="s">
        <v>2329</v>
      </c>
      <c r="F755" s="3">
        <v>1</v>
      </c>
      <c r="G755" s="33">
        <v>32874</v>
      </c>
      <c r="H755" s="28">
        <v>45805.625462962962</v>
      </c>
      <c r="I755" s="1"/>
      <c r="J755" s="1"/>
      <c r="K755" s="1"/>
      <c r="L755" s="1"/>
      <c r="M755" s="1"/>
      <c r="P755" s="3"/>
      <c r="R755" s="1"/>
      <c r="S755" s="1"/>
    </row>
    <row r="756" spans="1:19" ht="13.5" x14ac:dyDescent="0.65">
      <c r="A756" s="34">
        <v>755</v>
      </c>
      <c r="B756" s="3" t="s">
        <v>2330</v>
      </c>
      <c r="C756" s="1" t="s">
        <v>2331</v>
      </c>
      <c r="D756" s="1">
        <v>55</v>
      </c>
      <c r="E756" s="2" t="s">
        <v>2332</v>
      </c>
      <c r="F756" s="3">
        <v>1</v>
      </c>
      <c r="G756" s="33">
        <v>32874</v>
      </c>
      <c r="H756" s="28">
        <v>45720.474166666667</v>
      </c>
      <c r="I756" s="1"/>
      <c r="J756" s="1"/>
      <c r="K756" s="1"/>
      <c r="L756" s="1"/>
      <c r="M756" s="1"/>
      <c r="P756" s="3"/>
      <c r="R756" s="1"/>
      <c r="S756" s="1"/>
    </row>
    <row r="757" spans="1:19" ht="13.5" x14ac:dyDescent="0.65">
      <c r="A757" s="34">
        <v>756</v>
      </c>
      <c r="B757" s="3" t="s">
        <v>2333</v>
      </c>
      <c r="C757" s="1" t="s">
        <v>2334</v>
      </c>
      <c r="D757" s="1">
        <v>55</v>
      </c>
      <c r="E757" s="2" t="s">
        <v>2335</v>
      </c>
      <c r="F757" s="3">
        <v>1</v>
      </c>
      <c r="G757" s="33">
        <v>32874</v>
      </c>
      <c r="H757" s="28">
        <v>45714.762118055558</v>
      </c>
      <c r="I757" s="1"/>
      <c r="J757" s="1"/>
      <c r="K757" s="1"/>
      <c r="L757" s="1"/>
      <c r="M757" s="1"/>
      <c r="P757" s="3"/>
      <c r="R757" s="1"/>
      <c r="S757" s="1"/>
    </row>
    <row r="758" spans="1:19" ht="13.5" x14ac:dyDescent="0.65">
      <c r="A758" s="34">
        <v>757</v>
      </c>
      <c r="B758" s="3" t="s">
        <v>2336</v>
      </c>
      <c r="C758" s="1" t="s">
        <v>2337</v>
      </c>
      <c r="D758" s="1">
        <v>55</v>
      </c>
      <c r="E758" s="2" t="s">
        <v>2338</v>
      </c>
      <c r="F758" s="3">
        <v>1</v>
      </c>
      <c r="G758" s="33">
        <v>32874</v>
      </c>
      <c r="H758" s="28">
        <v>45723.569513888891</v>
      </c>
      <c r="I758" s="1"/>
      <c r="J758" s="1"/>
      <c r="K758" s="1"/>
      <c r="L758" s="1"/>
      <c r="M758" s="1"/>
      <c r="P758" s="3"/>
      <c r="R758" s="1"/>
      <c r="S758" s="1"/>
    </row>
    <row r="759" spans="1:19" ht="13.5" x14ac:dyDescent="0.65">
      <c r="A759" s="34">
        <v>758</v>
      </c>
      <c r="B759" s="3" t="s">
        <v>2339</v>
      </c>
      <c r="C759" s="1" t="s">
        <v>2340</v>
      </c>
      <c r="D759" s="1">
        <v>55</v>
      </c>
      <c r="E759" s="2" t="s">
        <v>2341</v>
      </c>
      <c r="F759" s="3">
        <v>1</v>
      </c>
      <c r="G759" s="33">
        <v>32874</v>
      </c>
      <c r="H759" s="28">
        <v>45806.560925925929</v>
      </c>
      <c r="I759" s="1"/>
      <c r="J759" s="1"/>
      <c r="K759" s="1"/>
      <c r="L759" s="1"/>
      <c r="M759" s="1"/>
      <c r="P759" s="3"/>
      <c r="R759" s="1"/>
      <c r="S759" s="1"/>
    </row>
    <row r="760" spans="1:19" ht="13.5" x14ac:dyDescent="0.65">
      <c r="A760" s="34">
        <v>759</v>
      </c>
      <c r="B760" s="3" t="s">
        <v>2342</v>
      </c>
      <c r="C760" s="1" t="s">
        <v>2343</v>
      </c>
      <c r="D760" s="1">
        <v>55</v>
      </c>
      <c r="E760" s="2" t="s">
        <v>2344</v>
      </c>
      <c r="F760" s="3">
        <v>1</v>
      </c>
      <c r="G760" s="33">
        <v>32874</v>
      </c>
      <c r="H760" s="28">
        <v>45716.774363425924</v>
      </c>
      <c r="I760" s="1"/>
      <c r="J760" s="1"/>
      <c r="K760" s="1"/>
      <c r="L760" s="1"/>
      <c r="M760" s="1"/>
      <c r="P760" s="3"/>
      <c r="R760" s="1"/>
      <c r="S760" s="1"/>
    </row>
    <row r="761" spans="1:19" ht="13.5" x14ac:dyDescent="0.65">
      <c r="A761" s="34">
        <v>760</v>
      </c>
      <c r="B761" s="3" t="s">
        <v>2345</v>
      </c>
      <c r="C761" s="1" t="s">
        <v>2346</v>
      </c>
      <c r="D761" s="1">
        <v>55</v>
      </c>
      <c r="E761" s="2" t="s">
        <v>2347</v>
      </c>
      <c r="F761" s="3">
        <v>1</v>
      </c>
      <c r="G761" s="33">
        <v>32874</v>
      </c>
      <c r="H761" s="28">
        <v>45723.426874999997</v>
      </c>
      <c r="I761" s="1"/>
      <c r="J761" s="1"/>
      <c r="K761" s="1"/>
      <c r="L761" s="1"/>
      <c r="M761" s="1"/>
      <c r="P761" s="3"/>
      <c r="R761" s="1"/>
      <c r="S761" s="1"/>
    </row>
    <row r="762" spans="1:19" ht="13.5" x14ac:dyDescent="0.65">
      <c r="A762" s="34">
        <v>761</v>
      </c>
      <c r="B762" s="3" t="s">
        <v>2348</v>
      </c>
      <c r="C762" s="1" t="s">
        <v>2349</v>
      </c>
      <c r="D762" s="1">
        <v>55</v>
      </c>
      <c r="E762" s="2" t="s">
        <v>2350</v>
      </c>
      <c r="F762" s="3">
        <v>1</v>
      </c>
      <c r="G762" s="33">
        <v>32874</v>
      </c>
      <c r="H762" s="28">
        <v>45716.774467592593</v>
      </c>
      <c r="I762" s="1"/>
      <c r="J762" s="1"/>
      <c r="K762" s="1"/>
      <c r="L762" s="1"/>
      <c r="M762" s="1"/>
      <c r="P762" s="3"/>
      <c r="R762" s="1"/>
      <c r="S762" s="1"/>
    </row>
    <row r="763" spans="1:19" ht="13.5" x14ac:dyDescent="0.65">
      <c r="A763" s="34">
        <v>762</v>
      </c>
      <c r="B763" s="3" t="s">
        <v>2351</v>
      </c>
      <c r="C763" s="1" t="s">
        <v>2352</v>
      </c>
      <c r="D763" s="1">
        <v>55</v>
      </c>
      <c r="E763" s="2" t="s">
        <v>2353</v>
      </c>
      <c r="F763" s="3">
        <v>1</v>
      </c>
      <c r="G763" s="33">
        <v>32874</v>
      </c>
      <c r="H763" s="28">
        <v>45716.754791666666</v>
      </c>
      <c r="I763" s="1"/>
      <c r="J763" s="1"/>
      <c r="K763" s="1"/>
      <c r="L763" s="1"/>
      <c r="M763" s="1"/>
      <c r="P763" s="3"/>
      <c r="R763" s="1"/>
      <c r="S763" s="1"/>
    </row>
    <row r="764" spans="1:19" ht="13.5" x14ac:dyDescent="0.65">
      <c r="A764" s="34">
        <v>763</v>
      </c>
      <c r="B764" s="3" t="s">
        <v>2354</v>
      </c>
      <c r="C764" s="1" t="s">
        <v>2355</v>
      </c>
      <c r="D764" s="1">
        <v>55</v>
      </c>
      <c r="E764" s="2" t="s">
        <v>2356</v>
      </c>
      <c r="F764" s="3">
        <v>1</v>
      </c>
      <c r="G764" s="33">
        <v>32874</v>
      </c>
      <c r="H764" s="28">
        <v>45716.774247685185</v>
      </c>
      <c r="I764" s="1"/>
      <c r="J764" s="1"/>
      <c r="K764" s="1"/>
      <c r="L764" s="1"/>
      <c r="M764" s="1"/>
      <c r="P764" s="3"/>
      <c r="R764" s="1"/>
      <c r="S764" s="1"/>
    </row>
    <row r="765" spans="1:19" ht="13.5" x14ac:dyDescent="0.65">
      <c r="A765" s="34">
        <v>764</v>
      </c>
      <c r="B765" s="3" t="s">
        <v>2357</v>
      </c>
      <c r="C765" s="1" t="s">
        <v>2358</v>
      </c>
      <c r="D765" s="1">
        <v>55</v>
      </c>
      <c r="E765" s="2" t="s">
        <v>2359</v>
      </c>
      <c r="F765" s="3">
        <v>1</v>
      </c>
      <c r="G765" s="33">
        <v>32874</v>
      </c>
      <c r="H765" s="28">
        <v>45716.754548611112</v>
      </c>
      <c r="I765" s="1"/>
      <c r="J765" s="1"/>
      <c r="K765" s="1"/>
      <c r="L765" s="1"/>
      <c r="M765" s="1"/>
      <c r="P765" s="3"/>
      <c r="R765" s="1"/>
      <c r="S765" s="1"/>
    </row>
    <row r="766" spans="1:19" ht="13.5" x14ac:dyDescent="0.65">
      <c r="A766" s="34">
        <v>765</v>
      </c>
      <c r="B766" s="3" t="s">
        <v>2360</v>
      </c>
      <c r="C766" s="1" t="s">
        <v>2361</v>
      </c>
      <c r="D766" s="1">
        <v>55</v>
      </c>
      <c r="E766" s="2" t="s">
        <v>2362</v>
      </c>
      <c r="F766" s="3">
        <v>1</v>
      </c>
      <c r="G766" s="33">
        <v>32874</v>
      </c>
      <c r="H766" s="28">
        <v>45716.754143518519</v>
      </c>
      <c r="I766" s="1"/>
      <c r="J766" s="1"/>
      <c r="K766" s="1"/>
      <c r="L766" s="1"/>
      <c r="M766" s="1"/>
      <c r="P766" s="3"/>
      <c r="R766" s="1"/>
      <c r="S766" s="1"/>
    </row>
    <row r="767" spans="1:19" ht="13.5" x14ac:dyDescent="0.65">
      <c r="A767" s="34">
        <v>766</v>
      </c>
      <c r="B767" s="3" t="s">
        <v>2363</v>
      </c>
      <c r="C767" s="1" t="s">
        <v>1011</v>
      </c>
      <c r="D767" s="1">
        <v>55</v>
      </c>
      <c r="E767" s="2" t="s">
        <v>2364</v>
      </c>
      <c r="F767" s="3">
        <v>1</v>
      </c>
      <c r="G767" s="33">
        <v>32874</v>
      </c>
      <c r="H767" s="28">
        <v>45723.42701388889</v>
      </c>
      <c r="I767" s="1"/>
      <c r="J767" s="1"/>
      <c r="K767" s="1"/>
      <c r="L767" s="1"/>
      <c r="M767" s="1"/>
      <c r="P767" s="3"/>
      <c r="R767" s="1"/>
      <c r="S767" s="1"/>
    </row>
    <row r="768" spans="1:19" ht="13.5" x14ac:dyDescent="0.65">
      <c r="A768" s="34">
        <v>767</v>
      </c>
      <c r="B768" s="3" t="s">
        <v>2365</v>
      </c>
      <c r="C768" s="1" t="s">
        <v>2366</v>
      </c>
      <c r="D768" s="1">
        <v>55</v>
      </c>
      <c r="E768" s="2" t="s">
        <v>2367</v>
      </c>
      <c r="F768" s="3">
        <v>1</v>
      </c>
      <c r="G768" s="33">
        <v>32874</v>
      </c>
      <c r="H768" s="28">
        <v>45716.77412037037</v>
      </c>
      <c r="I768" s="1"/>
      <c r="J768" s="1"/>
      <c r="K768" s="1"/>
      <c r="L768" s="1"/>
      <c r="M768" s="1"/>
      <c r="P768" s="3"/>
      <c r="R768" s="1"/>
      <c r="S768" s="1"/>
    </row>
    <row r="769" spans="1:19" ht="13.5" x14ac:dyDescent="0.65">
      <c r="A769" s="34">
        <v>768</v>
      </c>
      <c r="B769" s="3" t="s">
        <v>2368</v>
      </c>
      <c r="C769" s="1" t="s">
        <v>2369</v>
      </c>
      <c r="D769" s="1">
        <v>55</v>
      </c>
      <c r="E769" s="2" t="s">
        <v>2370</v>
      </c>
      <c r="F769" s="3">
        <v>1</v>
      </c>
      <c r="G769" s="33">
        <v>32874</v>
      </c>
      <c r="H769" s="28">
        <v>45716.754305555558</v>
      </c>
      <c r="I769" s="1"/>
      <c r="J769" s="1"/>
      <c r="K769" s="1"/>
      <c r="L769" s="1"/>
      <c r="M769" s="1"/>
      <c r="P769" s="3"/>
      <c r="R769" s="1"/>
      <c r="S769" s="1"/>
    </row>
    <row r="770" spans="1:19" ht="13.5" x14ac:dyDescent="0.65">
      <c r="A770" s="34">
        <v>769</v>
      </c>
      <c r="B770" s="3" t="s">
        <v>2371</v>
      </c>
      <c r="C770" s="1" t="s">
        <v>2372</v>
      </c>
      <c r="D770" s="1">
        <v>55</v>
      </c>
      <c r="E770" s="2" t="s">
        <v>2373</v>
      </c>
      <c r="F770" s="3">
        <v>1</v>
      </c>
      <c r="G770" s="33">
        <v>32874</v>
      </c>
      <c r="H770" s="28">
        <v>45719.326967592591</v>
      </c>
      <c r="I770" s="1"/>
      <c r="J770" s="1"/>
      <c r="K770" s="1"/>
      <c r="L770" s="1"/>
      <c r="M770" s="1"/>
      <c r="P770" s="3"/>
      <c r="R770" s="1"/>
      <c r="S770" s="1"/>
    </row>
    <row r="771" spans="1:19" ht="13.5" x14ac:dyDescent="0.65">
      <c r="A771" s="34">
        <v>770</v>
      </c>
      <c r="B771" s="3" t="s">
        <v>2374</v>
      </c>
      <c r="C771" s="1" t="s">
        <v>2375</v>
      </c>
      <c r="D771" s="1">
        <v>55</v>
      </c>
      <c r="E771" s="2" t="s">
        <v>2376</v>
      </c>
      <c r="F771" s="3">
        <v>1</v>
      </c>
      <c r="G771" s="33">
        <v>32874</v>
      </c>
      <c r="H771" s="28">
        <v>45716.713414351849</v>
      </c>
      <c r="I771" s="1"/>
      <c r="J771" s="1"/>
      <c r="K771" s="1"/>
      <c r="L771" s="1"/>
      <c r="M771" s="1"/>
      <c r="P771" s="3"/>
      <c r="R771" s="1"/>
      <c r="S771" s="1"/>
    </row>
    <row r="772" spans="1:19" ht="13.5" x14ac:dyDescent="0.65">
      <c r="A772" s="34">
        <v>771</v>
      </c>
      <c r="B772" s="3" t="s">
        <v>2377</v>
      </c>
      <c r="C772" s="1" t="s">
        <v>2378</v>
      </c>
      <c r="D772" s="1">
        <v>55</v>
      </c>
      <c r="E772" s="2" t="s">
        <v>2379</v>
      </c>
      <c r="F772" s="3">
        <v>1</v>
      </c>
      <c r="G772" s="33">
        <v>32874</v>
      </c>
      <c r="H772" s="28">
        <v>45803.611921296295</v>
      </c>
      <c r="I772" s="1"/>
      <c r="J772" s="1"/>
      <c r="K772" s="1"/>
      <c r="L772" s="1"/>
      <c r="M772" s="1"/>
      <c r="P772" s="3"/>
      <c r="R772" s="1"/>
      <c r="S772" s="1"/>
    </row>
    <row r="773" spans="1:19" ht="13.5" x14ac:dyDescent="0.65">
      <c r="A773" s="34">
        <v>772</v>
      </c>
      <c r="B773" s="3" t="s">
        <v>2380</v>
      </c>
      <c r="C773" s="1" t="s">
        <v>2381</v>
      </c>
      <c r="D773" s="1">
        <v>55</v>
      </c>
      <c r="E773" s="2" t="s">
        <v>2382</v>
      </c>
      <c r="F773" s="3">
        <v>1</v>
      </c>
      <c r="G773" s="33">
        <v>32874</v>
      </c>
      <c r="H773" s="28">
        <v>45803.611076388886</v>
      </c>
      <c r="I773" s="1"/>
      <c r="J773" s="1"/>
      <c r="K773" s="1"/>
      <c r="L773" s="1"/>
      <c r="M773" s="1"/>
      <c r="P773" s="3"/>
      <c r="R773" s="1"/>
      <c r="S773" s="1"/>
    </row>
    <row r="774" spans="1:19" ht="13.5" x14ac:dyDescent="0.65">
      <c r="A774" s="34">
        <v>773</v>
      </c>
      <c r="B774" s="3" t="s">
        <v>2383</v>
      </c>
      <c r="C774" s="1" t="s">
        <v>2384</v>
      </c>
      <c r="D774" s="1">
        <v>55</v>
      </c>
      <c r="E774" s="2" t="s">
        <v>2385</v>
      </c>
      <c r="F774" s="3">
        <v>1</v>
      </c>
      <c r="G774" s="33">
        <v>32874</v>
      </c>
      <c r="H774" s="28">
        <v>45803.611550925925</v>
      </c>
      <c r="I774" s="1"/>
      <c r="J774" s="1"/>
      <c r="K774" s="1"/>
      <c r="L774" s="1"/>
      <c r="M774" s="1"/>
      <c r="P774" s="3"/>
      <c r="R774" s="1"/>
      <c r="S774" s="1"/>
    </row>
    <row r="775" spans="1:19" ht="13.5" x14ac:dyDescent="0.65">
      <c r="A775" s="34">
        <v>774</v>
      </c>
      <c r="B775" s="3" t="s">
        <v>2386</v>
      </c>
      <c r="C775" s="1" t="s">
        <v>2387</v>
      </c>
      <c r="D775" s="1">
        <v>55</v>
      </c>
      <c r="E775" s="2" t="s">
        <v>2388</v>
      </c>
      <c r="F775" s="3">
        <v>1</v>
      </c>
      <c r="G775" s="33">
        <v>32874</v>
      </c>
      <c r="H775" s="28">
        <v>45813.338229166664</v>
      </c>
      <c r="I775" s="1"/>
      <c r="J775" s="1"/>
      <c r="K775" s="1"/>
      <c r="L775" s="1"/>
      <c r="M775" s="1"/>
      <c r="P775" s="3"/>
      <c r="R775" s="1"/>
      <c r="S775" s="1"/>
    </row>
    <row r="776" spans="1:19" ht="13.5" x14ac:dyDescent="0.65">
      <c r="A776" s="34">
        <v>775</v>
      </c>
      <c r="B776" s="3" t="s">
        <v>2389</v>
      </c>
      <c r="C776" s="1" t="s">
        <v>2390</v>
      </c>
      <c r="D776" s="1">
        <v>55</v>
      </c>
      <c r="E776" s="2" t="s">
        <v>2391</v>
      </c>
      <c r="F776" s="3">
        <v>1</v>
      </c>
      <c r="G776" s="33">
        <v>32874</v>
      </c>
      <c r="H776" s="28">
        <v>45715.450937499998</v>
      </c>
      <c r="I776" s="1"/>
      <c r="J776" s="1"/>
      <c r="K776" s="1"/>
      <c r="L776" s="1"/>
      <c r="M776" s="1"/>
      <c r="P776" s="3"/>
      <c r="R776" s="1"/>
      <c r="S776" s="1"/>
    </row>
    <row r="777" spans="1:19" ht="13.5" x14ac:dyDescent="0.65">
      <c r="A777" s="34">
        <v>776</v>
      </c>
      <c r="B777" s="3" t="s">
        <v>2392</v>
      </c>
      <c r="C777" s="1" t="s">
        <v>2393</v>
      </c>
      <c r="D777" s="1">
        <v>55</v>
      </c>
      <c r="E777" s="2" t="s">
        <v>2394</v>
      </c>
      <c r="F777" s="3">
        <v>1</v>
      </c>
      <c r="G777" s="33">
        <v>32874</v>
      </c>
      <c r="H777" s="28">
        <v>45715.45107638889</v>
      </c>
      <c r="I777" s="1"/>
      <c r="J777" s="1"/>
      <c r="K777" s="1"/>
      <c r="L777" s="1"/>
      <c r="M777" s="1"/>
      <c r="P777" s="3"/>
      <c r="R777" s="1"/>
      <c r="S777" s="1"/>
    </row>
    <row r="778" spans="1:19" ht="13.5" x14ac:dyDescent="0.65">
      <c r="A778" s="34">
        <v>777</v>
      </c>
      <c r="B778" s="3" t="s">
        <v>2395</v>
      </c>
      <c r="C778" s="1" t="s">
        <v>2396</v>
      </c>
      <c r="D778" s="1">
        <v>55</v>
      </c>
      <c r="E778" s="2" t="s">
        <v>2397</v>
      </c>
      <c r="F778" s="3">
        <v>1</v>
      </c>
      <c r="G778" s="33">
        <v>32874</v>
      </c>
      <c r="H778" s="28">
        <v>45710.635520833333</v>
      </c>
      <c r="I778" s="1"/>
      <c r="J778" s="1"/>
      <c r="K778" s="1"/>
      <c r="L778" s="1"/>
      <c r="M778" s="1"/>
      <c r="P778" s="3"/>
      <c r="R778" s="1"/>
      <c r="S778" s="1"/>
    </row>
    <row r="779" spans="1:19" ht="13.5" x14ac:dyDescent="0.65">
      <c r="A779" s="34">
        <v>778</v>
      </c>
      <c r="B779" s="3" t="s">
        <v>2398</v>
      </c>
      <c r="C779" s="1" t="s">
        <v>2399</v>
      </c>
      <c r="D779" s="1">
        <v>55</v>
      </c>
      <c r="E779" s="2" t="s">
        <v>2400</v>
      </c>
      <c r="F779" s="3">
        <v>1</v>
      </c>
      <c r="G779" s="33">
        <v>32874</v>
      </c>
      <c r="H779" s="28">
        <v>45710.636319444442</v>
      </c>
      <c r="I779" s="1"/>
      <c r="J779" s="1"/>
      <c r="K779" s="1"/>
      <c r="L779" s="1"/>
      <c r="M779" s="1"/>
      <c r="P779" s="3"/>
      <c r="R779" s="1"/>
      <c r="S779" s="1"/>
    </row>
    <row r="780" spans="1:19" ht="13.5" x14ac:dyDescent="0.65">
      <c r="A780" s="34">
        <v>779</v>
      </c>
      <c r="B780" s="3" t="s">
        <v>2401</v>
      </c>
      <c r="C780" s="1" t="s">
        <v>2402</v>
      </c>
      <c r="D780" s="1">
        <v>55</v>
      </c>
      <c r="E780" s="2" t="s">
        <v>2403</v>
      </c>
      <c r="F780" s="3">
        <v>1</v>
      </c>
      <c r="G780" s="33">
        <v>32874</v>
      </c>
      <c r="H780" s="28">
        <v>45719.325879629629</v>
      </c>
      <c r="I780" s="1"/>
      <c r="J780" s="1"/>
      <c r="K780" s="1"/>
      <c r="L780" s="1"/>
      <c r="M780" s="1"/>
      <c r="P780" s="3"/>
      <c r="R780" s="1"/>
      <c r="S780" s="1"/>
    </row>
    <row r="781" spans="1:19" ht="13.5" x14ac:dyDescent="0.65">
      <c r="A781" s="34">
        <v>780</v>
      </c>
      <c r="B781" s="3" t="s">
        <v>2404</v>
      </c>
      <c r="C781" s="1" t="s">
        <v>2405</v>
      </c>
      <c r="D781" s="1">
        <v>55</v>
      </c>
      <c r="E781" s="2" t="s">
        <v>2406</v>
      </c>
      <c r="F781" s="3">
        <v>1</v>
      </c>
      <c r="G781" s="33">
        <v>32874</v>
      </c>
      <c r="H781" s="28">
        <v>45712.628564814811</v>
      </c>
      <c r="I781" s="1"/>
      <c r="J781" s="1"/>
      <c r="K781" s="1"/>
      <c r="L781" s="1"/>
      <c r="M781" s="1"/>
      <c r="P781" s="3"/>
    </row>
    <row r="782" spans="1:19" ht="13.5" x14ac:dyDescent="0.65">
      <c r="A782" s="34">
        <v>781</v>
      </c>
      <c r="B782" s="3" t="s">
        <v>2407</v>
      </c>
      <c r="C782" s="1" t="s">
        <v>2408</v>
      </c>
      <c r="D782" s="1">
        <v>55</v>
      </c>
      <c r="E782" s="2" t="s">
        <v>2409</v>
      </c>
      <c r="F782" s="3">
        <v>1</v>
      </c>
      <c r="G782" s="33">
        <v>32874</v>
      </c>
      <c r="H782" s="29">
        <v>45719.326840277776</v>
      </c>
      <c r="I782" s="1"/>
      <c r="J782" s="1"/>
      <c r="K782" s="1"/>
      <c r="L782" s="1"/>
      <c r="M782" s="1"/>
      <c r="P782" s="3"/>
    </row>
    <row r="783" spans="1:19" ht="13.5" x14ac:dyDescent="0.65">
      <c r="A783" s="34">
        <v>782</v>
      </c>
      <c r="B783" s="3" t="s">
        <v>2410</v>
      </c>
      <c r="C783" s="1" t="s">
        <v>2411</v>
      </c>
      <c r="D783" s="1">
        <v>56</v>
      </c>
      <c r="E783" s="2" t="s">
        <v>2412</v>
      </c>
      <c r="F783" s="3">
        <v>1</v>
      </c>
      <c r="G783" s="33">
        <v>32874</v>
      </c>
      <c r="H783" s="29">
        <v>45719.326840277776</v>
      </c>
      <c r="I783" s="1"/>
      <c r="J783" s="1"/>
      <c r="K783" s="1"/>
      <c r="L783" s="1"/>
      <c r="M783" s="1"/>
      <c r="P783" s="3"/>
      <c r="R783" s="1"/>
      <c r="S783" s="1"/>
    </row>
    <row r="784" spans="1:19" x14ac:dyDescent="0.65">
      <c r="A784" s="34">
        <v>783</v>
      </c>
      <c r="B784" s="3" t="s">
        <v>2415</v>
      </c>
      <c r="C784" s="1" t="s">
        <v>2416</v>
      </c>
      <c r="D784" s="1">
        <v>57</v>
      </c>
      <c r="E784" s="2" t="s">
        <v>2417</v>
      </c>
      <c r="F784" s="3">
        <v>1</v>
      </c>
      <c r="G784" s="33">
        <v>32874</v>
      </c>
      <c r="H784" s="30">
        <v>45916.571192129632</v>
      </c>
      <c r="I784" s="1"/>
      <c r="J784" s="1"/>
      <c r="K784" s="1"/>
      <c r="L784" s="1"/>
      <c r="M784" s="1"/>
      <c r="P784" s="3"/>
      <c r="R784" s="1"/>
      <c r="S784" s="1"/>
    </row>
    <row r="785" spans="1:19" x14ac:dyDescent="0.65">
      <c r="A785" s="34">
        <v>784</v>
      </c>
      <c r="B785" s="3" t="s">
        <v>2419</v>
      </c>
      <c r="C785" s="1" t="s">
        <v>2420</v>
      </c>
      <c r="D785" s="1">
        <v>57</v>
      </c>
      <c r="E785" s="2" t="s">
        <v>2421</v>
      </c>
      <c r="F785" s="3">
        <v>1</v>
      </c>
      <c r="G785" s="33">
        <v>32874</v>
      </c>
      <c r="H785" s="30">
        <v>45441</v>
      </c>
      <c r="I785" s="1"/>
      <c r="J785" s="1"/>
      <c r="K785" s="1"/>
      <c r="L785" s="1"/>
      <c r="M785" s="1"/>
      <c r="P785" s="3"/>
      <c r="R785" s="1"/>
      <c r="S785" s="1"/>
    </row>
    <row r="786" spans="1:19" x14ac:dyDescent="0.65">
      <c r="A786" s="34">
        <v>785</v>
      </c>
      <c r="B786" s="3" t="s">
        <v>2422</v>
      </c>
      <c r="C786" s="1" t="s">
        <v>2423</v>
      </c>
      <c r="D786" s="1">
        <v>57</v>
      </c>
      <c r="E786" s="2" t="s">
        <v>2424</v>
      </c>
      <c r="F786" s="3">
        <v>1</v>
      </c>
      <c r="G786" s="33">
        <v>32874</v>
      </c>
      <c r="H786" s="30">
        <v>45505</v>
      </c>
      <c r="I786" s="1"/>
      <c r="J786" s="1"/>
      <c r="K786" s="1"/>
      <c r="L786" s="1"/>
      <c r="M786" s="1"/>
      <c r="P786" s="3"/>
      <c r="R786" s="1"/>
      <c r="S786" s="1"/>
    </row>
    <row r="787" spans="1:19" x14ac:dyDescent="0.65">
      <c r="A787" s="34">
        <v>786</v>
      </c>
      <c r="B787" s="3" t="s">
        <v>2425</v>
      </c>
      <c r="C787" s="1" t="s">
        <v>2426</v>
      </c>
      <c r="D787" s="1">
        <v>58</v>
      </c>
      <c r="E787" s="2" t="s">
        <v>2427</v>
      </c>
      <c r="F787" s="3">
        <v>1</v>
      </c>
      <c r="G787" s="33">
        <v>32874</v>
      </c>
      <c r="H787" s="30">
        <v>45440</v>
      </c>
      <c r="I787" s="1"/>
      <c r="J787" s="1"/>
      <c r="K787" s="1"/>
      <c r="L787" s="1"/>
      <c r="M787" s="1"/>
      <c r="P787" s="3"/>
      <c r="R787" s="1"/>
      <c r="S787" s="1"/>
    </row>
    <row r="788" spans="1:19" x14ac:dyDescent="0.65">
      <c r="A788" s="34">
        <v>787</v>
      </c>
      <c r="B788" s="3" t="s">
        <v>2428</v>
      </c>
      <c r="C788" s="1" t="s">
        <v>2429</v>
      </c>
      <c r="D788" s="1">
        <v>57</v>
      </c>
      <c r="E788" s="2" t="s">
        <v>2430</v>
      </c>
      <c r="F788" s="3">
        <v>1</v>
      </c>
      <c r="G788" s="33">
        <v>32874</v>
      </c>
      <c r="H788" s="30">
        <v>45609</v>
      </c>
      <c r="I788" s="1"/>
      <c r="J788" s="1"/>
      <c r="K788" s="1"/>
      <c r="L788" s="1"/>
      <c r="M788" s="1"/>
      <c r="P788" s="3"/>
      <c r="R788" s="1"/>
      <c r="S788" s="1"/>
    </row>
    <row r="789" spans="1:19" x14ac:dyDescent="0.65">
      <c r="A789" s="34">
        <v>788</v>
      </c>
      <c r="B789" s="3" t="s">
        <v>2431</v>
      </c>
      <c r="C789" s="1" t="s">
        <v>2432</v>
      </c>
      <c r="D789" s="1">
        <v>57</v>
      </c>
      <c r="E789" s="2" t="s">
        <v>2433</v>
      </c>
      <c r="F789" s="3">
        <v>1</v>
      </c>
      <c r="G789" s="33">
        <v>32874</v>
      </c>
      <c r="H789" s="30">
        <v>45667.658043981479</v>
      </c>
      <c r="I789" s="1"/>
      <c r="J789" s="1"/>
      <c r="K789" s="1"/>
      <c r="L789" s="1"/>
      <c r="M789" s="1"/>
      <c r="P789" s="3"/>
      <c r="R789" s="1"/>
      <c r="S789" s="1"/>
    </row>
    <row r="790" spans="1:19" x14ac:dyDescent="0.65">
      <c r="A790" s="34">
        <v>789</v>
      </c>
      <c r="B790" s="3" t="s">
        <v>2434</v>
      </c>
      <c r="C790" s="1" t="s">
        <v>2435</v>
      </c>
      <c r="D790" s="1">
        <v>57</v>
      </c>
      <c r="E790" s="2" t="s">
        <v>2436</v>
      </c>
      <c r="F790" s="3">
        <v>1</v>
      </c>
      <c r="G790" s="33">
        <v>32874</v>
      </c>
      <c r="H790" s="30">
        <v>45667.658043981479</v>
      </c>
      <c r="I790" s="1"/>
      <c r="J790" s="1"/>
      <c r="K790" s="1"/>
      <c r="L790" s="1"/>
      <c r="M790" s="1"/>
      <c r="P790" s="3"/>
      <c r="R790" s="1"/>
      <c r="S790" s="1"/>
    </row>
    <row r="791" spans="1:19" x14ac:dyDescent="0.65">
      <c r="A791" s="34">
        <v>790</v>
      </c>
      <c r="B791" s="3" t="s">
        <v>2437</v>
      </c>
      <c r="C791" s="1" t="s">
        <v>2438</v>
      </c>
      <c r="D791" s="1">
        <v>59</v>
      </c>
      <c r="E791" s="2" t="s">
        <v>2439</v>
      </c>
      <c r="F791" s="3">
        <v>1</v>
      </c>
      <c r="G791" s="33">
        <v>32874</v>
      </c>
      <c r="H791" s="30">
        <v>41365</v>
      </c>
      <c r="I791" s="1"/>
      <c r="J791" s="1"/>
      <c r="K791" s="1"/>
      <c r="L791" s="1"/>
      <c r="M791" s="1"/>
      <c r="P791" s="3"/>
      <c r="R791" s="1"/>
      <c r="S791" s="1"/>
    </row>
    <row r="792" spans="1:19" x14ac:dyDescent="0.65">
      <c r="A792" s="34">
        <v>791</v>
      </c>
      <c r="B792" s="3" t="s">
        <v>2441</v>
      </c>
      <c r="C792" s="1" t="s">
        <v>2442</v>
      </c>
      <c r="D792" s="1">
        <v>59</v>
      </c>
      <c r="E792" s="2" t="s">
        <v>2443</v>
      </c>
      <c r="F792" s="3">
        <v>1</v>
      </c>
      <c r="G792" s="33">
        <v>32874</v>
      </c>
      <c r="H792" s="30">
        <v>41365</v>
      </c>
      <c r="I792" s="1"/>
      <c r="J792" s="1"/>
      <c r="K792" s="1"/>
      <c r="L792" s="1"/>
      <c r="M792" s="1"/>
      <c r="P792" s="3"/>
      <c r="R792" s="1"/>
      <c r="S792" s="1"/>
    </row>
    <row r="793" spans="1:19" x14ac:dyDescent="0.65">
      <c r="A793" s="34">
        <v>792</v>
      </c>
      <c r="B793" s="3" t="s">
        <v>2444</v>
      </c>
      <c r="C793" s="1" t="s">
        <v>2445</v>
      </c>
      <c r="D793" s="1">
        <v>59</v>
      </c>
      <c r="E793" s="2" t="s">
        <v>2446</v>
      </c>
      <c r="F793" s="3">
        <v>1</v>
      </c>
      <c r="G793" s="33">
        <v>32874</v>
      </c>
      <c r="H793" s="30">
        <v>41365</v>
      </c>
      <c r="I793" s="1"/>
      <c r="J793" s="1"/>
      <c r="K793" s="1"/>
      <c r="L793" s="1"/>
      <c r="M793" s="1"/>
      <c r="P793" s="3"/>
      <c r="R793" s="1"/>
      <c r="S793" s="1"/>
    </row>
    <row r="794" spans="1:19" x14ac:dyDescent="0.65">
      <c r="A794" s="34">
        <v>793</v>
      </c>
      <c r="B794" s="3" t="s">
        <v>2447</v>
      </c>
      <c r="C794" s="1" t="s">
        <v>2448</v>
      </c>
      <c r="D794" s="1">
        <v>59</v>
      </c>
      <c r="E794" s="2" t="s">
        <v>2449</v>
      </c>
      <c r="F794" s="3">
        <v>1</v>
      </c>
      <c r="G794" s="33">
        <v>32874</v>
      </c>
      <c r="H794" s="30">
        <v>41325</v>
      </c>
      <c r="I794" s="1"/>
      <c r="J794" s="1"/>
      <c r="K794" s="1"/>
      <c r="L794" s="1"/>
      <c r="M794" s="1"/>
      <c r="P794" s="3"/>
      <c r="R794" s="1"/>
      <c r="S794" s="1"/>
    </row>
    <row r="795" spans="1:19" x14ac:dyDescent="0.65">
      <c r="A795" s="34">
        <v>794</v>
      </c>
      <c r="B795" s="3" t="s">
        <v>2450</v>
      </c>
      <c r="C795" s="1" t="s">
        <v>2451</v>
      </c>
      <c r="D795" s="1">
        <v>59</v>
      </c>
      <c r="E795" s="2" t="s">
        <v>2452</v>
      </c>
      <c r="F795" s="3">
        <v>1</v>
      </c>
      <c r="G795" s="33">
        <v>32874</v>
      </c>
      <c r="H795" s="30">
        <v>41715</v>
      </c>
      <c r="I795" s="1"/>
      <c r="J795" s="1"/>
      <c r="K795" s="1"/>
      <c r="L795" s="1"/>
      <c r="M795" s="1"/>
      <c r="P795" s="3"/>
      <c r="R795" s="1"/>
      <c r="S795" s="1"/>
    </row>
    <row r="796" spans="1:19" x14ac:dyDescent="0.65">
      <c r="A796" s="34">
        <v>795</v>
      </c>
      <c r="B796" s="3" t="s">
        <v>2453</v>
      </c>
      <c r="C796" s="1" t="s">
        <v>2454</v>
      </c>
      <c r="D796" s="1">
        <v>59</v>
      </c>
      <c r="E796" s="2" t="s">
        <v>2455</v>
      </c>
      <c r="F796" s="3">
        <v>1</v>
      </c>
      <c r="G796" s="33">
        <v>32874</v>
      </c>
      <c r="H796" s="30">
        <v>45331</v>
      </c>
      <c r="I796" s="1"/>
      <c r="J796" s="1"/>
      <c r="K796" s="1"/>
      <c r="L796" s="1"/>
      <c r="M796" s="1"/>
      <c r="P796" s="3"/>
      <c r="R796" s="1"/>
      <c r="S796" s="1"/>
    </row>
    <row r="797" spans="1:19" x14ac:dyDescent="0.65">
      <c r="A797" s="34">
        <v>796</v>
      </c>
      <c r="B797" s="3" t="s">
        <v>2456</v>
      </c>
      <c r="C797" s="1" t="s">
        <v>2457</v>
      </c>
      <c r="D797" s="1">
        <v>59</v>
      </c>
      <c r="E797" s="2" t="s">
        <v>2458</v>
      </c>
      <c r="F797" s="3">
        <v>1</v>
      </c>
      <c r="G797" s="33">
        <v>32874</v>
      </c>
      <c r="H797" s="30">
        <v>43787</v>
      </c>
      <c r="I797" s="1"/>
      <c r="J797" s="1"/>
      <c r="K797" s="1"/>
      <c r="L797" s="1"/>
      <c r="M797" s="1"/>
      <c r="P797" s="3"/>
      <c r="R797" s="1"/>
      <c r="S797" s="1"/>
    </row>
    <row r="798" spans="1:19" x14ac:dyDescent="0.65">
      <c r="A798" s="34">
        <v>797</v>
      </c>
      <c r="B798" s="3" t="s">
        <v>2459</v>
      </c>
      <c r="C798" s="1" t="s">
        <v>2460</v>
      </c>
      <c r="D798" s="1">
        <v>59</v>
      </c>
      <c r="E798" s="2" t="s">
        <v>2461</v>
      </c>
      <c r="F798" s="3">
        <v>1</v>
      </c>
      <c r="G798" s="33">
        <v>32874</v>
      </c>
      <c r="H798" s="30">
        <v>42362</v>
      </c>
      <c r="I798" s="1"/>
      <c r="J798" s="1"/>
      <c r="K798" s="1"/>
      <c r="L798" s="1"/>
      <c r="M798" s="1"/>
      <c r="P798" s="3"/>
      <c r="R798" s="1"/>
      <c r="S798" s="1"/>
    </row>
    <row r="799" spans="1:19" x14ac:dyDescent="0.65">
      <c r="A799" s="34">
        <v>798</v>
      </c>
      <c r="B799" s="3" t="s">
        <v>2462</v>
      </c>
      <c r="C799" s="1" t="s">
        <v>2463</v>
      </c>
      <c r="D799" s="1">
        <v>59</v>
      </c>
      <c r="E799" s="2" t="s">
        <v>2464</v>
      </c>
      <c r="F799" s="3">
        <v>1</v>
      </c>
      <c r="G799" s="33">
        <v>32874</v>
      </c>
      <c r="H799" s="30">
        <v>45359</v>
      </c>
      <c r="I799" s="1"/>
      <c r="J799" s="1"/>
      <c r="K799" s="1"/>
      <c r="L799" s="1"/>
      <c r="M799" s="1"/>
      <c r="P799" s="3"/>
      <c r="R799" s="1"/>
      <c r="S799" s="1"/>
    </row>
    <row r="800" spans="1:19" x14ac:dyDescent="0.65">
      <c r="A800" s="34">
        <v>799</v>
      </c>
      <c r="B800" s="3" t="s">
        <v>2465</v>
      </c>
      <c r="C800" s="1" t="s">
        <v>2466</v>
      </c>
      <c r="D800" s="1">
        <v>59</v>
      </c>
      <c r="E800" s="2" t="s">
        <v>2467</v>
      </c>
      <c r="F800" s="3">
        <v>1</v>
      </c>
      <c r="G800" s="33">
        <v>32874</v>
      </c>
      <c r="H800" s="30">
        <v>44862</v>
      </c>
      <c r="I800" s="1"/>
      <c r="J800" s="1"/>
      <c r="K800" s="1"/>
      <c r="L800" s="1"/>
      <c r="M800" s="1"/>
      <c r="P800" s="3"/>
      <c r="R800" s="1"/>
      <c r="S800" s="1"/>
    </row>
    <row r="801" spans="1:19" x14ac:dyDescent="0.65">
      <c r="A801" s="34">
        <v>800</v>
      </c>
      <c r="B801" s="3" t="s">
        <v>2468</v>
      </c>
      <c r="C801" s="1" t="s">
        <v>2469</v>
      </c>
      <c r="D801" s="1">
        <v>59</v>
      </c>
      <c r="E801" s="2" t="s">
        <v>2470</v>
      </c>
      <c r="F801" s="3">
        <v>1</v>
      </c>
      <c r="G801" s="33">
        <v>32874</v>
      </c>
      <c r="H801" s="30">
        <v>45376</v>
      </c>
      <c r="I801" s="1"/>
      <c r="J801" s="1"/>
      <c r="K801" s="1"/>
      <c r="L801" s="1"/>
      <c r="M801" s="1"/>
      <c r="P801" s="3"/>
      <c r="R801" s="1"/>
      <c r="S801" s="1"/>
    </row>
    <row r="802" spans="1:19" x14ac:dyDescent="0.65">
      <c r="A802" s="34">
        <v>801</v>
      </c>
      <c r="B802" s="3" t="s">
        <v>2471</v>
      </c>
      <c r="C802" s="1" t="s">
        <v>2472</v>
      </c>
      <c r="D802" s="1">
        <v>59</v>
      </c>
      <c r="E802" s="2" t="s">
        <v>2473</v>
      </c>
      <c r="F802" s="3">
        <v>1</v>
      </c>
      <c r="G802" s="33">
        <v>32874</v>
      </c>
      <c r="H802" s="30">
        <v>44860</v>
      </c>
      <c r="I802" s="1"/>
      <c r="J802" s="1"/>
      <c r="K802" s="1"/>
      <c r="L802" s="1"/>
      <c r="M802" s="1"/>
      <c r="P802" s="3"/>
      <c r="R802" s="1"/>
      <c r="S802" s="1"/>
    </row>
    <row r="803" spans="1:19" x14ac:dyDescent="0.65">
      <c r="A803" s="34">
        <v>802</v>
      </c>
      <c r="B803" s="3" t="s">
        <v>2474</v>
      </c>
      <c r="C803" s="1" t="s">
        <v>2475</v>
      </c>
      <c r="D803" s="1">
        <v>59</v>
      </c>
      <c r="E803" s="2" t="s">
        <v>2476</v>
      </c>
      <c r="F803" s="3">
        <v>1</v>
      </c>
      <c r="G803" s="33">
        <v>32874</v>
      </c>
      <c r="H803" s="30">
        <v>44830</v>
      </c>
      <c r="I803" s="1"/>
      <c r="J803" s="1"/>
      <c r="K803" s="1"/>
      <c r="L803" s="1"/>
      <c r="M803" s="1"/>
      <c r="P803" s="3"/>
      <c r="R803" s="1"/>
      <c r="S803" s="1"/>
    </row>
    <row r="804" spans="1:19" x14ac:dyDescent="0.65">
      <c r="A804" s="34">
        <v>803</v>
      </c>
      <c r="B804" s="3" t="s">
        <v>2477</v>
      </c>
      <c r="C804" s="1" t="s">
        <v>2478</v>
      </c>
      <c r="D804" s="1">
        <v>59</v>
      </c>
      <c r="E804" s="2" t="s">
        <v>2479</v>
      </c>
      <c r="F804" s="3">
        <v>1</v>
      </c>
      <c r="G804" s="33">
        <v>32874</v>
      </c>
      <c r="H804" s="30">
        <v>42405</v>
      </c>
      <c r="I804" s="1"/>
      <c r="J804" s="1"/>
      <c r="K804" s="1"/>
      <c r="L804" s="1"/>
      <c r="M804" s="1"/>
      <c r="P804" s="3"/>
      <c r="R804" s="1"/>
      <c r="S804" s="1"/>
    </row>
    <row r="805" spans="1:19" x14ac:dyDescent="0.65">
      <c r="A805" s="34">
        <v>804</v>
      </c>
      <c r="B805" s="3" t="s">
        <v>2480</v>
      </c>
      <c r="C805" s="1" t="s">
        <v>2481</v>
      </c>
      <c r="D805" s="1">
        <v>59</v>
      </c>
      <c r="E805" s="2" t="s">
        <v>2482</v>
      </c>
      <c r="F805" s="3">
        <v>1</v>
      </c>
      <c r="G805" s="33">
        <v>32874</v>
      </c>
      <c r="H805" s="30">
        <v>41458</v>
      </c>
      <c r="I805" s="1"/>
      <c r="J805" s="1"/>
      <c r="K805" s="1"/>
      <c r="L805" s="1"/>
      <c r="M805" s="1"/>
      <c r="P805" s="3"/>
      <c r="R805" s="1"/>
      <c r="S805" s="1"/>
    </row>
    <row r="806" spans="1:19" x14ac:dyDescent="0.65">
      <c r="A806" s="34">
        <v>805</v>
      </c>
      <c r="B806" s="3" t="s">
        <v>2483</v>
      </c>
      <c r="C806" s="1" t="s">
        <v>2484</v>
      </c>
      <c r="D806" s="1">
        <v>60</v>
      </c>
      <c r="E806" s="2" t="s">
        <v>2485</v>
      </c>
      <c r="F806" s="3">
        <v>1</v>
      </c>
      <c r="G806" s="33">
        <v>32874</v>
      </c>
      <c r="H806" s="30">
        <v>41365</v>
      </c>
      <c r="I806" s="1"/>
      <c r="J806" s="1"/>
      <c r="K806" s="1"/>
      <c r="L806" s="1"/>
      <c r="M806" s="1"/>
      <c r="P806" s="3"/>
      <c r="R806" s="1"/>
      <c r="S806" s="1"/>
    </row>
    <row r="807" spans="1:19" x14ac:dyDescent="0.65">
      <c r="A807" s="34">
        <v>806</v>
      </c>
      <c r="B807" s="3" t="s">
        <v>2487</v>
      </c>
      <c r="C807" s="1" t="s">
        <v>2488</v>
      </c>
      <c r="D807" s="1">
        <v>59</v>
      </c>
      <c r="E807" s="2" t="s">
        <v>2489</v>
      </c>
      <c r="F807" s="3">
        <v>1</v>
      </c>
      <c r="G807" s="33">
        <v>32874</v>
      </c>
      <c r="H807" s="30">
        <v>41715</v>
      </c>
      <c r="I807" s="1"/>
      <c r="J807" s="1"/>
      <c r="K807" s="1"/>
      <c r="L807" s="1"/>
      <c r="M807" s="1"/>
      <c r="P807" s="3"/>
      <c r="R807" s="1"/>
      <c r="S807" s="1"/>
    </row>
    <row r="808" spans="1:19" x14ac:dyDescent="0.65">
      <c r="A808" s="34">
        <v>807</v>
      </c>
      <c r="B808" s="3" t="s">
        <v>2490</v>
      </c>
      <c r="C808" s="1" t="s">
        <v>2491</v>
      </c>
      <c r="D808" s="1">
        <v>59</v>
      </c>
      <c r="E808" s="2" t="s">
        <v>2492</v>
      </c>
      <c r="F808" s="3">
        <v>1</v>
      </c>
      <c r="G808" s="33">
        <v>32874</v>
      </c>
      <c r="H808" s="30">
        <v>45720.502523148149</v>
      </c>
      <c r="I808" s="1"/>
      <c r="J808" s="1"/>
      <c r="K808" s="1"/>
      <c r="L808" s="1"/>
      <c r="M808" s="1"/>
      <c r="P808" s="3"/>
      <c r="R808" s="1"/>
      <c r="S808" s="1"/>
    </row>
    <row r="809" spans="1:19" x14ac:dyDescent="0.65">
      <c r="A809" s="34">
        <v>808</v>
      </c>
      <c r="B809" s="3" t="s">
        <v>2493</v>
      </c>
      <c r="C809" s="1" t="s">
        <v>2494</v>
      </c>
      <c r="D809" s="1">
        <v>59</v>
      </c>
      <c r="E809" s="2" t="s">
        <v>2495</v>
      </c>
      <c r="F809" s="3">
        <v>1</v>
      </c>
      <c r="G809" s="33">
        <v>32874</v>
      </c>
      <c r="H809" s="30">
        <v>44803</v>
      </c>
      <c r="I809" s="1"/>
      <c r="J809" s="1"/>
      <c r="K809" s="1"/>
      <c r="L809" s="1"/>
      <c r="M809" s="1"/>
      <c r="P809" s="3"/>
      <c r="R809" s="1"/>
      <c r="S809" s="1"/>
    </row>
    <row r="810" spans="1:19" x14ac:dyDescent="0.65">
      <c r="A810" s="34">
        <v>809</v>
      </c>
      <c r="B810" s="3" t="s">
        <v>2496</v>
      </c>
      <c r="C810" s="1" t="s">
        <v>2497</v>
      </c>
      <c r="D810" s="1">
        <v>59</v>
      </c>
      <c r="E810" s="2" t="s">
        <v>2498</v>
      </c>
      <c r="F810" s="3">
        <v>1</v>
      </c>
      <c r="G810" s="33">
        <v>32874</v>
      </c>
      <c r="H810" s="30">
        <v>43124</v>
      </c>
      <c r="I810" s="1"/>
      <c r="J810" s="1"/>
      <c r="K810" s="1"/>
      <c r="L810" s="1"/>
      <c r="M810" s="1"/>
      <c r="P810" s="3"/>
      <c r="R810" s="1"/>
      <c r="S810" s="1"/>
    </row>
    <row r="811" spans="1:19" x14ac:dyDescent="0.65">
      <c r="A811" s="34">
        <v>810</v>
      </c>
      <c r="B811" s="3" t="s">
        <v>2499</v>
      </c>
      <c r="C811" s="1" t="s">
        <v>2500</v>
      </c>
      <c r="D811" s="1">
        <v>59</v>
      </c>
      <c r="E811" s="2" t="s">
        <v>2501</v>
      </c>
      <c r="F811" s="3">
        <v>1</v>
      </c>
      <c r="G811" s="33">
        <v>32874</v>
      </c>
      <c r="H811" s="30">
        <v>43091</v>
      </c>
      <c r="I811" s="1"/>
      <c r="J811" s="1"/>
      <c r="K811" s="1"/>
      <c r="L811" s="1"/>
      <c r="M811" s="1"/>
      <c r="P811" s="3"/>
      <c r="R811" s="1"/>
      <c r="S811" s="1" t="s">
        <v>2502</v>
      </c>
    </row>
    <row r="812" spans="1:19" x14ac:dyDescent="0.65">
      <c r="A812" s="34">
        <v>811</v>
      </c>
      <c r="B812" s="3" t="s">
        <v>2503</v>
      </c>
      <c r="C812" s="1" t="s">
        <v>2504</v>
      </c>
      <c r="D812" s="1">
        <v>59</v>
      </c>
      <c r="E812" s="2" t="s">
        <v>2505</v>
      </c>
      <c r="F812" s="3">
        <v>1</v>
      </c>
      <c r="G812" s="33">
        <v>32874</v>
      </c>
      <c r="H812" s="30">
        <v>43192</v>
      </c>
      <c r="I812" s="1"/>
      <c r="J812" s="1"/>
      <c r="K812" s="1"/>
      <c r="L812" s="1"/>
      <c r="M812" s="1"/>
      <c r="P812" s="3"/>
      <c r="R812" s="1"/>
      <c r="S812" s="1" t="s">
        <v>2502</v>
      </c>
    </row>
    <row r="813" spans="1:19" x14ac:dyDescent="0.65">
      <c r="A813" s="34">
        <v>812</v>
      </c>
      <c r="B813" s="3" t="s">
        <v>2506</v>
      </c>
      <c r="C813" s="1" t="s">
        <v>2507</v>
      </c>
      <c r="D813" s="1">
        <v>59</v>
      </c>
      <c r="E813" s="2" t="s">
        <v>2508</v>
      </c>
      <c r="F813" s="3">
        <v>1</v>
      </c>
      <c r="G813" s="33">
        <v>32874</v>
      </c>
      <c r="H813" s="30">
        <v>44944</v>
      </c>
      <c r="I813" s="1"/>
      <c r="J813" s="1"/>
      <c r="K813" s="1"/>
      <c r="L813" s="1"/>
      <c r="M813" s="1"/>
      <c r="P813" s="3"/>
      <c r="R813" s="1"/>
      <c r="S813" s="1" t="s">
        <v>2502</v>
      </c>
    </row>
    <row r="814" spans="1:19" x14ac:dyDescent="0.65">
      <c r="A814" s="34">
        <v>813</v>
      </c>
      <c r="B814" s="3" t="s">
        <v>2509</v>
      </c>
      <c r="C814" s="1" t="s">
        <v>2510</v>
      </c>
      <c r="D814" s="1">
        <v>59</v>
      </c>
      <c r="E814" s="2" t="s">
        <v>2511</v>
      </c>
      <c r="F814" s="3">
        <v>1</v>
      </c>
      <c r="G814" s="33">
        <v>32874</v>
      </c>
      <c r="H814" s="30">
        <v>43124</v>
      </c>
      <c r="I814" s="1"/>
      <c r="J814" s="1"/>
      <c r="K814" s="1"/>
      <c r="L814" s="1"/>
      <c r="M814" s="1"/>
      <c r="P814" s="3"/>
      <c r="R814" s="1"/>
      <c r="S814" s="1" t="s">
        <v>2502</v>
      </c>
    </row>
    <row r="815" spans="1:19" x14ac:dyDescent="0.65">
      <c r="A815" s="34">
        <v>814</v>
      </c>
      <c r="B815" s="3" t="s">
        <v>2512</v>
      </c>
      <c r="C815" s="1" t="s">
        <v>2513</v>
      </c>
      <c r="D815" s="1">
        <v>59</v>
      </c>
      <c r="E815" s="2" t="s">
        <v>2514</v>
      </c>
      <c r="F815" s="3">
        <v>1</v>
      </c>
      <c r="G815" s="33">
        <v>32874</v>
      </c>
      <c r="H815" s="30">
        <v>43077</v>
      </c>
      <c r="I815" s="1"/>
      <c r="J815" s="1"/>
      <c r="K815" s="1"/>
      <c r="L815" s="1"/>
      <c r="M815" s="1"/>
      <c r="P815" s="3"/>
      <c r="R815" s="1"/>
      <c r="S815" s="1" t="s">
        <v>2502</v>
      </c>
    </row>
    <row r="816" spans="1:19" x14ac:dyDescent="0.65">
      <c r="A816" s="34">
        <v>815</v>
      </c>
      <c r="B816" s="3" t="s">
        <v>2515</v>
      </c>
      <c r="C816" s="1" t="s">
        <v>2516</v>
      </c>
      <c r="D816" s="1">
        <v>59</v>
      </c>
      <c r="E816" s="2" t="s">
        <v>2517</v>
      </c>
      <c r="F816" s="3">
        <v>1</v>
      </c>
      <c r="G816" s="33">
        <v>32874</v>
      </c>
      <c r="H816" s="30">
        <v>43077</v>
      </c>
      <c r="I816" s="1"/>
      <c r="J816" s="1"/>
      <c r="K816" s="1"/>
      <c r="L816" s="1"/>
      <c r="M816" s="1"/>
      <c r="P816" s="3"/>
      <c r="R816" s="1"/>
      <c r="S816" s="1" t="s">
        <v>2502</v>
      </c>
    </row>
    <row r="817" spans="1:19" x14ac:dyDescent="0.65">
      <c r="A817" s="34">
        <v>816</v>
      </c>
      <c r="B817" s="3" t="s">
        <v>2518</v>
      </c>
      <c r="C817" s="1" t="s">
        <v>2519</v>
      </c>
      <c r="D817" s="1">
        <v>59</v>
      </c>
      <c r="E817" s="2" t="s">
        <v>2520</v>
      </c>
      <c r="F817" s="3">
        <v>1</v>
      </c>
      <c r="G817" s="33">
        <v>32874</v>
      </c>
      <c r="H817" s="30">
        <v>43077</v>
      </c>
      <c r="I817" s="1"/>
      <c r="J817" s="1"/>
      <c r="K817" s="1"/>
      <c r="L817" s="1"/>
      <c r="M817" s="1"/>
      <c r="P817" s="3"/>
      <c r="R817" s="1"/>
      <c r="S817" s="1" t="s">
        <v>2502</v>
      </c>
    </row>
    <row r="818" spans="1:19" x14ac:dyDescent="0.65">
      <c r="A818" s="34">
        <v>817</v>
      </c>
      <c r="B818" s="3" t="s">
        <v>2521</v>
      </c>
      <c r="C818" s="1" t="s">
        <v>2522</v>
      </c>
      <c r="D818" s="1">
        <v>59</v>
      </c>
      <c r="E818" s="2" t="s">
        <v>2523</v>
      </c>
      <c r="F818" s="3">
        <v>1</v>
      </c>
      <c r="G818" s="33">
        <v>32874</v>
      </c>
      <c r="H818" s="30">
        <v>43094</v>
      </c>
      <c r="I818" s="1"/>
      <c r="J818" s="1"/>
      <c r="K818" s="1"/>
      <c r="L818" s="1"/>
      <c r="M818" s="1"/>
      <c r="P818" s="3"/>
      <c r="R818" s="1"/>
      <c r="S818" s="1" t="s">
        <v>2502</v>
      </c>
    </row>
    <row r="819" spans="1:19" x14ac:dyDescent="0.65">
      <c r="A819" s="34">
        <v>818</v>
      </c>
      <c r="B819" s="3" t="s">
        <v>2524</v>
      </c>
      <c r="C819" s="1" t="s">
        <v>2525</v>
      </c>
      <c r="D819" s="1">
        <v>59</v>
      </c>
      <c r="E819" s="2" t="s">
        <v>2526</v>
      </c>
      <c r="F819" s="3">
        <v>1</v>
      </c>
      <c r="G819" s="33">
        <v>32874</v>
      </c>
      <c r="H819" s="30">
        <v>45803.667118055557</v>
      </c>
      <c r="I819" s="1"/>
      <c r="J819" s="1"/>
      <c r="K819" s="1"/>
      <c r="L819" s="1"/>
      <c r="M819" s="1"/>
      <c r="P819" s="3"/>
      <c r="R819" s="1"/>
      <c r="S819" s="1" t="s">
        <v>2502</v>
      </c>
    </row>
    <row r="820" spans="1:19" x14ac:dyDescent="0.65">
      <c r="A820" s="34">
        <v>819</v>
      </c>
      <c r="B820" s="3" t="s">
        <v>2527</v>
      </c>
      <c r="C820" s="1" t="s">
        <v>2528</v>
      </c>
      <c r="D820" s="1">
        <v>59</v>
      </c>
      <c r="E820" s="2" t="s">
        <v>2529</v>
      </c>
      <c r="F820" s="3">
        <v>1</v>
      </c>
      <c r="G820" s="33">
        <v>32874</v>
      </c>
      <c r="H820" s="30">
        <v>43069</v>
      </c>
      <c r="I820" s="1"/>
      <c r="J820" s="1"/>
      <c r="K820" s="1"/>
      <c r="L820" s="1"/>
      <c r="M820" s="1"/>
      <c r="P820" s="3"/>
      <c r="R820" s="1"/>
      <c r="S820" s="1" t="s">
        <v>2502</v>
      </c>
    </row>
    <row r="821" spans="1:19" x14ac:dyDescent="0.65">
      <c r="A821" s="34">
        <v>820</v>
      </c>
      <c r="B821" s="3" t="s">
        <v>2530</v>
      </c>
      <c r="C821" s="1" t="s">
        <v>2531</v>
      </c>
      <c r="D821" s="1">
        <v>59</v>
      </c>
      <c r="E821" s="2" t="s">
        <v>2532</v>
      </c>
      <c r="F821" s="3">
        <v>1</v>
      </c>
      <c r="G821" s="33">
        <v>32874</v>
      </c>
      <c r="H821" s="30">
        <v>43077</v>
      </c>
      <c r="I821" s="1"/>
      <c r="J821" s="1"/>
      <c r="K821" s="1"/>
      <c r="L821" s="1"/>
      <c r="M821" s="1"/>
      <c r="P821" s="3"/>
      <c r="R821" s="1"/>
      <c r="S821" s="1" t="s">
        <v>2502</v>
      </c>
    </row>
    <row r="822" spans="1:19" x14ac:dyDescent="0.65">
      <c r="A822" s="34">
        <v>821</v>
      </c>
      <c r="B822" s="3" t="s">
        <v>2533</v>
      </c>
      <c r="C822" s="1" t="s">
        <v>2534</v>
      </c>
      <c r="D822" s="1">
        <v>59</v>
      </c>
      <c r="E822" s="2" t="s">
        <v>2535</v>
      </c>
      <c r="F822" s="3">
        <v>1</v>
      </c>
      <c r="G822" s="33">
        <v>32874</v>
      </c>
      <c r="H822" s="30">
        <v>43077</v>
      </c>
      <c r="I822" s="1"/>
      <c r="J822" s="1"/>
      <c r="K822" s="1"/>
      <c r="L822" s="1"/>
      <c r="M822" s="1"/>
      <c r="P822" s="3"/>
      <c r="R822" s="1"/>
      <c r="S822" s="1" t="s">
        <v>2502</v>
      </c>
    </row>
    <row r="823" spans="1:19" x14ac:dyDescent="0.65">
      <c r="A823" s="34">
        <v>822</v>
      </c>
      <c r="B823" s="3" t="s">
        <v>2536</v>
      </c>
      <c r="C823" s="1" t="s">
        <v>2537</v>
      </c>
      <c r="D823" s="1">
        <v>59</v>
      </c>
      <c r="E823" s="2" t="s">
        <v>2538</v>
      </c>
      <c r="F823" s="3">
        <v>1</v>
      </c>
      <c r="G823" s="33">
        <v>32874</v>
      </c>
      <c r="H823" s="30">
        <v>43313</v>
      </c>
      <c r="I823" s="1"/>
      <c r="J823" s="1"/>
      <c r="K823" s="1"/>
      <c r="L823" s="1"/>
      <c r="M823" s="1"/>
      <c r="P823" s="3"/>
      <c r="R823" s="1"/>
      <c r="S823" s="1" t="s">
        <v>2502</v>
      </c>
    </row>
    <row r="824" spans="1:19" x14ac:dyDescent="0.65">
      <c r="A824" s="34">
        <v>823</v>
      </c>
      <c r="B824" s="3" t="s">
        <v>2539</v>
      </c>
      <c r="C824" s="1" t="s">
        <v>2540</v>
      </c>
      <c r="D824" s="1">
        <v>59</v>
      </c>
      <c r="E824" s="2" t="s">
        <v>2541</v>
      </c>
      <c r="F824" s="3">
        <v>1</v>
      </c>
      <c r="G824" s="33">
        <v>32874</v>
      </c>
      <c r="H824" s="30">
        <v>43313</v>
      </c>
      <c r="I824" s="1"/>
      <c r="J824" s="1"/>
      <c r="K824" s="1"/>
      <c r="L824" s="1"/>
      <c r="M824" s="1"/>
      <c r="P824" s="3"/>
      <c r="R824" s="1"/>
      <c r="S824" s="1" t="s">
        <v>2502</v>
      </c>
    </row>
    <row r="825" spans="1:19" x14ac:dyDescent="0.65">
      <c r="A825" s="34">
        <v>824</v>
      </c>
      <c r="B825" s="3" t="s">
        <v>2542</v>
      </c>
      <c r="C825" s="1" t="s">
        <v>2543</v>
      </c>
      <c r="D825" s="1">
        <v>59</v>
      </c>
      <c r="E825" s="2" t="s">
        <v>2544</v>
      </c>
      <c r="F825" s="3">
        <v>1</v>
      </c>
      <c r="G825" s="33">
        <v>32874</v>
      </c>
      <c r="H825" s="30">
        <v>43069</v>
      </c>
      <c r="I825" s="1"/>
      <c r="J825" s="1"/>
      <c r="K825" s="1"/>
      <c r="L825" s="1"/>
      <c r="M825" s="1"/>
      <c r="P825" s="3"/>
      <c r="R825" s="1"/>
      <c r="S825" s="1" t="s">
        <v>2502</v>
      </c>
    </row>
    <row r="826" spans="1:19" x14ac:dyDescent="0.65">
      <c r="A826" s="34">
        <v>825</v>
      </c>
      <c r="B826" s="3" t="s">
        <v>2545</v>
      </c>
      <c r="C826" s="1" t="s">
        <v>2546</v>
      </c>
      <c r="D826" s="1">
        <v>59</v>
      </c>
      <c r="E826" s="2" t="s">
        <v>2547</v>
      </c>
      <c r="F826" s="3">
        <v>1</v>
      </c>
      <c r="G826" s="33">
        <v>32874</v>
      </c>
      <c r="H826" s="30">
        <v>43077</v>
      </c>
      <c r="I826" s="1"/>
      <c r="J826" s="1"/>
      <c r="K826" s="1"/>
      <c r="L826" s="1"/>
      <c r="M826" s="1"/>
      <c r="P826" s="3"/>
      <c r="R826" s="1"/>
      <c r="S826" s="1" t="s">
        <v>2502</v>
      </c>
    </row>
    <row r="827" spans="1:19" x14ac:dyDescent="0.65">
      <c r="A827" s="34">
        <v>826</v>
      </c>
      <c r="B827" s="3" t="s">
        <v>2548</v>
      </c>
      <c r="C827" s="1" t="s">
        <v>2549</v>
      </c>
      <c r="D827" s="1">
        <v>59</v>
      </c>
      <c r="E827" s="2" t="s">
        <v>2550</v>
      </c>
      <c r="F827" s="3">
        <v>1</v>
      </c>
      <c r="G827" s="33">
        <v>32874</v>
      </c>
      <c r="H827" s="30">
        <v>42796</v>
      </c>
      <c r="I827" s="1"/>
      <c r="J827" s="1"/>
      <c r="K827" s="1"/>
      <c r="L827" s="1"/>
      <c r="M827" s="1"/>
      <c r="P827" s="3"/>
      <c r="R827" s="1"/>
      <c r="S827" s="1"/>
    </row>
    <row r="828" spans="1:19" x14ac:dyDescent="0.65">
      <c r="A828" s="34">
        <v>827</v>
      </c>
      <c r="B828" s="3" t="s">
        <v>2551</v>
      </c>
      <c r="C828" s="1" t="s">
        <v>2552</v>
      </c>
      <c r="D828" s="1">
        <v>59</v>
      </c>
      <c r="E828" s="2" t="s">
        <v>2553</v>
      </c>
      <c r="F828" s="3">
        <v>1</v>
      </c>
      <c r="G828" s="33">
        <v>32874</v>
      </c>
      <c r="H828" s="30">
        <v>43272</v>
      </c>
      <c r="I828" s="1"/>
      <c r="J828" s="1"/>
      <c r="K828" s="1"/>
      <c r="L828" s="1"/>
      <c r="M828" s="1"/>
      <c r="P828" s="3"/>
      <c r="R828" s="1"/>
      <c r="S828" s="1" t="s">
        <v>2502</v>
      </c>
    </row>
    <row r="829" spans="1:19" x14ac:dyDescent="0.65">
      <c r="A829" s="34">
        <v>828</v>
      </c>
      <c r="B829" s="3" t="s">
        <v>2554</v>
      </c>
      <c r="C829" s="1" t="s">
        <v>2555</v>
      </c>
      <c r="D829" s="1">
        <v>59</v>
      </c>
      <c r="E829" s="2" t="s">
        <v>2556</v>
      </c>
      <c r="F829" s="3">
        <v>1</v>
      </c>
      <c r="G829" s="33">
        <v>32874</v>
      </c>
      <c r="H829" s="30">
        <v>43521</v>
      </c>
      <c r="I829" s="1"/>
      <c r="J829" s="1"/>
      <c r="K829" s="1"/>
      <c r="L829" s="1"/>
      <c r="M829" s="1"/>
      <c r="P829" s="3"/>
      <c r="R829" s="1"/>
      <c r="S829" s="1" t="s">
        <v>2502</v>
      </c>
    </row>
    <row r="830" spans="1:19" x14ac:dyDescent="0.65">
      <c r="A830" s="34">
        <v>829</v>
      </c>
      <c r="B830" s="3" t="s">
        <v>2557</v>
      </c>
      <c r="C830" s="1" t="s">
        <v>2558</v>
      </c>
      <c r="D830" s="1">
        <v>59</v>
      </c>
      <c r="E830" s="2" t="s">
        <v>2559</v>
      </c>
      <c r="F830" s="3">
        <v>1</v>
      </c>
      <c r="G830" s="33">
        <v>32874</v>
      </c>
      <c r="H830" s="30">
        <v>43272</v>
      </c>
      <c r="I830" s="1"/>
      <c r="J830" s="1"/>
      <c r="K830" s="1"/>
      <c r="L830" s="1"/>
      <c r="M830" s="1"/>
      <c r="P830" s="3"/>
      <c r="R830" s="1"/>
      <c r="S830" s="1" t="s">
        <v>2502</v>
      </c>
    </row>
    <row r="831" spans="1:19" x14ac:dyDescent="0.65">
      <c r="A831" s="34">
        <v>830</v>
      </c>
      <c r="B831" s="3" t="s">
        <v>2560</v>
      </c>
      <c r="C831" s="1" t="s">
        <v>2561</v>
      </c>
      <c r="D831" s="1">
        <v>59</v>
      </c>
      <c r="E831" s="2" t="s">
        <v>2562</v>
      </c>
      <c r="F831" s="3">
        <v>1</v>
      </c>
      <c r="G831" s="33">
        <v>32874</v>
      </c>
      <c r="H831" s="30">
        <v>43272</v>
      </c>
      <c r="I831" s="1"/>
      <c r="J831" s="1"/>
      <c r="K831" s="1"/>
      <c r="L831" s="1"/>
      <c r="M831" s="1"/>
      <c r="P831" s="3"/>
      <c r="R831" s="1"/>
      <c r="S831" s="1" t="s">
        <v>2502</v>
      </c>
    </row>
    <row r="832" spans="1:19" x14ac:dyDescent="0.65">
      <c r="A832" s="34">
        <v>831</v>
      </c>
      <c r="B832" s="3" t="s">
        <v>2563</v>
      </c>
      <c r="C832" s="1" t="s">
        <v>2564</v>
      </c>
      <c r="D832" s="1">
        <v>59</v>
      </c>
      <c r="E832" s="2" t="s">
        <v>2565</v>
      </c>
      <c r="F832" s="3">
        <v>1</v>
      </c>
      <c r="G832" s="33">
        <v>32874</v>
      </c>
      <c r="H832" s="30">
        <v>43272</v>
      </c>
      <c r="I832" s="1"/>
      <c r="J832" s="1"/>
      <c r="K832" s="1"/>
      <c r="L832" s="1"/>
      <c r="M832" s="1"/>
      <c r="P832" s="3"/>
      <c r="R832" s="1"/>
      <c r="S832" s="1" t="s">
        <v>2502</v>
      </c>
    </row>
    <row r="833" spans="1:19" x14ac:dyDescent="0.65">
      <c r="A833" s="34">
        <v>832</v>
      </c>
      <c r="B833" s="3" t="s">
        <v>2566</v>
      </c>
      <c r="C833" s="1" t="s">
        <v>2567</v>
      </c>
      <c r="D833" s="1">
        <v>59</v>
      </c>
      <c r="E833" s="2" t="s">
        <v>2568</v>
      </c>
      <c r="F833" s="3">
        <v>1</v>
      </c>
      <c r="G833" s="33">
        <v>32874</v>
      </c>
      <c r="H833" s="30">
        <v>43272</v>
      </c>
      <c r="I833" s="1"/>
      <c r="J833" s="1"/>
      <c r="K833" s="1"/>
      <c r="L833" s="1"/>
      <c r="M833" s="1"/>
      <c r="P833" s="3"/>
      <c r="R833" s="1"/>
      <c r="S833" s="1" t="s">
        <v>2502</v>
      </c>
    </row>
    <row r="834" spans="1:19" x14ac:dyDescent="0.65">
      <c r="A834" s="34">
        <v>833</v>
      </c>
      <c r="B834" s="3" t="s">
        <v>2569</v>
      </c>
      <c r="C834" s="1" t="s">
        <v>2570</v>
      </c>
      <c r="D834" s="1">
        <v>59</v>
      </c>
      <c r="E834" s="2" t="s">
        <v>2571</v>
      </c>
      <c r="F834" s="3">
        <v>1</v>
      </c>
      <c r="G834" s="33">
        <v>32874</v>
      </c>
      <c r="H834" s="30">
        <v>43272</v>
      </c>
      <c r="I834" s="1"/>
      <c r="J834" s="1"/>
      <c r="K834" s="1"/>
      <c r="L834" s="1"/>
      <c r="M834" s="1"/>
      <c r="P834" s="3"/>
      <c r="R834" s="1"/>
      <c r="S834" s="1" t="s">
        <v>2502</v>
      </c>
    </row>
    <row r="835" spans="1:19" x14ac:dyDescent="0.65">
      <c r="A835" s="34">
        <v>834</v>
      </c>
      <c r="B835" s="3" t="s">
        <v>2572</v>
      </c>
      <c r="C835" s="1" t="s">
        <v>2573</v>
      </c>
      <c r="D835" s="1">
        <v>59</v>
      </c>
      <c r="E835" s="2" t="s">
        <v>2574</v>
      </c>
      <c r="F835" s="3">
        <v>1</v>
      </c>
      <c r="G835" s="33">
        <v>32874</v>
      </c>
      <c r="H835" s="30">
        <v>43340</v>
      </c>
      <c r="I835" s="1"/>
      <c r="J835" s="1"/>
      <c r="K835" s="1"/>
      <c r="L835" s="1"/>
      <c r="M835" s="1"/>
      <c r="P835" s="3"/>
      <c r="R835" s="1"/>
      <c r="S835" s="1" t="s">
        <v>2502</v>
      </c>
    </row>
    <row r="836" spans="1:19" x14ac:dyDescent="0.65">
      <c r="A836" s="34">
        <v>835</v>
      </c>
      <c r="B836" s="3" t="s">
        <v>2575</v>
      </c>
      <c r="C836" s="1" t="s">
        <v>2576</v>
      </c>
      <c r="D836" s="1">
        <v>59</v>
      </c>
      <c r="E836" s="2" t="s">
        <v>2577</v>
      </c>
      <c r="F836" s="3">
        <v>1</v>
      </c>
      <c r="G836" s="33">
        <v>32874</v>
      </c>
      <c r="H836" s="30">
        <v>43182</v>
      </c>
      <c r="I836" s="1"/>
      <c r="J836" s="1"/>
      <c r="K836" s="1"/>
      <c r="L836" s="1"/>
      <c r="M836" s="1"/>
      <c r="P836" s="3"/>
      <c r="R836" s="1"/>
      <c r="S836" s="1" t="s">
        <v>2502</v>
      </c>
    </row>
    <row r="837" spans="1:19" x14ac:dyDescent="0.65">
      <c r="A837" s="34">
        <v>836</v>
      </c>
      <c r="B837" s="3" t="s">
        <v>2578</v>
      </c>
      <c r="C837" s="1" t="s">
        <v>2579</v>
      </c>
      <c r="D837" s="1">
        <v>59</v>
      </c>
      <c r="E837" s="2" t="s">
        <v>2580</v>
      </c>
      <c r="F837" s="3">
        <v>1</v>
      </c>
      <c r="G837" s="33">
        <v>32874</v>
      </c>
      <c r="H837" s="30">
        <v>43182</v>
      </c>
      <c r="I837" s="1"/>
      <c r="J837" s="1"/>
      <c r="K837" s="1"/>
      <c r="L837" s="1"/>
      <c r="M837" s="1"/>
      <c r="P837" s="3"/>
      <c r="R837" s="1"/>
      <c r="S837" s="1" t="s">
        <v>2502</v>
      </c>
    </row>
    <row r="838" spans="1:19" x14ac:dyDescent="0.65">
      <c r="A838" s="34">
        <v>837</v>
      </c>
      <c r="B838" s="3" t="s">
        <v>2581</v>
      </c>
      <c r="C838" s="1" t="s">
        <v>2582</v>
      </c>
      <c r="D838" s="1">
        <v>59</v>
      </c>
      <c r="E838" s="2" t="s">
        <v>2583</v>
      </c>
      <c r="F838" s="3">
        <v>1</v>
      </c>
      <c r="G838" s="33">
        <v>32874</v>
      </c>
      <c r="H838" s="30">
        <v>43077</v>
      </c>
      <c r="I838" s="1"/>
      <c r="J838" s="1"/>
      <c r="K838" s="1"/>
      <c r="L838" s="1"/>
      <c r="M838" s="1"/>
      <c r="P838" s="3"/>
      <c r="R838" s="1"/>
      <c r="S838" s="1" t="s">
        <v>2502</v>
      </c>
    </row>
    <row r="839" spans="1:19" x14ac:dyDescent="0.65">
      <c r="A839" s="34">
        <v>838</v>
      </c>
      <c r="B839" s="3" t="s">
        <v>2584</v>
      </c>
      <c r="C839" s="1" t="s">
        <v>2585</v>
      </c>
      <c r="D839" s="1">
        <v>59</v>
      </c>
      <c r="E839" s="2" t="s">
        <v>2586</v>
      </c>
      <c r="F839" s="3">
        <v>1</v>
      </c>
      <c r="G839" s="33">
        <v>32874</v>
      </c>
      <c r="H839" s="30">
        <v>43077</v>
      </c>
      <c r="I839" s="1"/>
      <c r="J839" s="1"/>
      <c r="K839" s="1"/>
      <c r="L839" s="1"/>
      <c r="M839" s="1"/>
      <c r="P839" s="3"/>
      <c r="R839" s="1"/>
      <c r="S839" s="1" t="s">
        <v>2502</v>
      </c>
    </row>
    <row r="840" spans="1:19" x14ac:dyDescent="0.65">
      <c r="A840" s="34">
        <v>839</v>
      </c>
      <c r="B840" s="3" t="s">
        <v>2587</v>
      </c>
      <c r="C840" s="1" t="s">
        <v>2588</v>
      </c>
      <c r="D840" s="1">
        <v>59</v>
      </c>
      <c r="E840" s="2" t="s">
        <v>2589</v>
      </c>
      <c r="F840" s="3">
        <v>1</v>
      </c>
      <c r="G840" s="33">
        <v>32874</v>
      </c>
      <c r="H840" s="30">
        <v>43084</v>
      </c>
      <c r="I840" s="1"/>
      <c r="J840" s="1"/>
      <c r="K840" s="1"/>
      <c r="L840" s="1"/>
      <c r="M840" s="1"/>
      <c r="P840" s="3"/>
      <c r="R840" s="1"/>
      <c r="S840" s="1" t="s">
        <v>2502</v>
      </c>
    </row>
    <row r="841" spans="1:19" x14ac:dyDescent="0.65">
      <c r="A841" s="34">
        <v>840</v>
      </c>
      <c r="B841" s="3" t="s">
        <v>2590</v>
      </c>
      <c r="C841" s="1" t="s">
        <v>2591</v>
      </c>
      <c r="D841" s="1">
        <v>59</v>
      </c>
      <c r="E841" s="2" t="s">
        <v>2592</v>
      </c>
      <c r="F841" s="3">
        <v>1</v>
      </c>
      <c r="G841" s="33">
        <v>32874</v>
      </c>
      <c r="H841" s="30">
        <v>43084</v>
      </c>
      <c r="I841" s="1"/>
      <c r="J841" s="1"/>
      <c r="K841" s="1"/>
      <c r="L841" s="1"/>
      <c r="M841" s="1"/>
      <c r="P841" s="3"/>
      <c r="R841" s="1"/>
      <c r="S841" s="1" t="s">
        <v>2502</v>
      </c>
    </row>
    <row r="842" spans="1:19" x14ac:dyDescent="0.65">
      <c r="A842" s="34">
        <v>841</v>
      </c>
      <c r="B842" s="3" t="s">
        <v>2593</v>
      </c>
      <c r="C842" s="1" t="s">
        <v>2594</v>
      </c>
      <c r="D842" s="1">
        <v>59</v>
      </c>
      <c r="E842" s="2" t="s">
        <v>2595</v>
      </c>
      <c r="F842" s="3">
        <v>1</v>
      </c>
      <c r="G842" s="33">
        <v>32874</v>
      </c>
      <c r="H842" s="30">
        <v>43082</v>
      </c>
      <c r="I842" s="1"/>
      <c r="J842" s="1"/>
      <c r="K842" s="1"/>
      <c r="L842" s="1"/>
      <c r="M842" s="1"/>
      <c r="P842" s="3"/>
      <c r="R842" s="1"/>
      <c r="S842" s="1" t="s">
        <v>2502</v>
      </c>
    </row>
    <row r="843" spans="1:19" x14ac:dyDescent="0.65">
      <c r="A843" s="34">
        <v>842</v>
      </c>
      <c r="B843" s="3" t="s">
        <v>2596</v>
      </c>
      <c r="C843" s="1" t="s">
        <v>2597</v>
      </c>
      <c r="D843" s="1">
        <v>59</v>
      </c>
      <c r="E843" s="2" t="s">
        <v>2598</v>
      </c>
      <c r="F843" s="3">
        <v>1</v>
      </c>
      <c r="G843" s="33">
        <v>32874</v>
      </c>
      <c r="H843" s="30">
        <v>43096</v>
      </c>
      <c r="I843" s="1"/>
      <c r="J843" s="1"/>
      <c r="K843" s="1"/>
      <c r="L843" s="1"/>
      <c r="M843" s="1"/>
      <c r="P843" s="3"/>
      <c r="R843" s="1"/>
      <c r="S843" s="1" t="s">
        <v>2502</v>
      </c>
    </row>
    <row r="844" spans="1:19" x14ac:dyDescent="0.65">
      <c r="A844" s="34">
        <v>843</v>
      </c>
      <c r="B844" s="3" t="s">
        <v>2599</v>
      </c>
      <c r="C844" s="1" t="s">
        <v>2600</v>
      </c>
      <c r="D844" s="1">
        <v>59</v>
      </c>
      <c r="E844" s="2" t="s">
        <v>2601</v>
      </c>
      <c r="F844" s="3">
        <v>1</v>
      </c>
      <c r="G844" s="33">
        <v>32874</v>
      </c>
      <c r="H844" s="30">
        <v>44999</v>
      </c>
      <c r="I844" s="1"/>
      <c r="J844" s="1"/>
      <c r="K844" s="1"/>
      <c r="L844" s="1"/>
      <c r="M844" s="1"/>
      <c r="P844" s="3"/>
      <c r="R844" s="1"/>
      <c r="S844" s="1"/>
    </row>
    <row r="845" spans="1:19" x14ac:dyDescent="0.65">
      <c r="A845" s="34">
        <v>844</v>
      </c>
      <c r="B845" s="3" t="s">
        <v>2602</v>
      </c>
      <c r="C845" s="1" t="s">
        <v>2603</v>
      </c>
      <c r="D845" s="1">
        <v>59</v>
      </c>
      <c r="E845" s="2" t="s">
        <v>2604</v>
      </c>
      <c r="F845" s="3">
        <v>1</v>
      </c>
      <c r="G845" s="33">
        <v>32874</v>
      </c>
      <c r="H845" s="30">
        <v>43189</v>
      </c>
      <c r="I845" s="1"/>
      <c r="J845" s="1"/>
      <c r="K845" s="1"/>
      <c r="L845" s="1"/>
      <c r="M845" s="1"/>
      <c r="P845" s="3"/>
      <c r="R845" s="1"/>
      <c r="S845" s="1" t="s">
        <v>2502</v>
      </c>
    </row>
    <row r="846" spans="1:19" x14ac:dyDescent="0.65">
      <c r="A846" s="34">
        <v>845</v>
      </c>
      <c r="B846" s="3" t="s">
        <v>2605</v>
      </c>
      <c r="C846" s="1" t="s">
        <v>2606</v>
      </c>
      <c r="D846" s="1">
        <v>59</v>
      </c>
      <c r="E846" s="2" t="s">
        <v>2607</v>
      </c>
      <c r="F846" s="3">
        <v>1</v>
      </c>
      <c r="G846" s="33">
        <v>32874</v>
      </c>
      <c r="H846" s="30">
        <v>43210</v>
      </c>
      <c r="I846" s="1"/>
      <c r="J846" s="1"/>
      <c r="K846" s="1"/>
      <c r="L846" s="1"/>
      <c r="M846" s="1"/>
      <c r="P846" s="3"/>
      <c r="R846" s="1"/>
      <c r="S846" s="1"/>
    </row>
    <row r="847" spans="1:19" x14ac:dyDescent="0.65">
      <c r="A847" s="34">
        <v>846</v>
      </c>
      <c r="B847" s="3" t="s">
        <v>2608</v>
      </c>
      <c r="C847" s="1" t="s">
        <v>2609</v>
      </c>
      <c r="D847" s="1">
        <v>59</v>
      </c>
      <c r="E847" s="2" t="s">
        <v>2610</v>
      </c>
      <c r="F847" s="3">
        <v>1</v>
      </c>
      <c r="G847" s="33">
        <v>32874</v>
      </c>
      <c r="H847" s="30">
        <v>43388</v>
      </c>
      <c r="I847" s="1"/>
      <c r="J847" s="1"/>
      <c r="K847" s="1"/>
      <c r="L847" s="1"/>
      <c r="M847" s="1"/>
      <c r="P847" s="3"/>
      <c r="R847" s="1"/>
      <c r="S847" s="1"/>
    </row>
    <row r="848" spans="1:19" x14ac:dyDescent="0.65">
      <c r="A848" s="34">
        <v>847</v>
      </c>
      <c r="B848" s="3" t="s">
        <v>2611</v>
      </c>
      <c r="C848" s="1" t="s">
        <v>2612</v>
      </c>
      <c r="D848" s="1">
        <v>59</v>
      </c>
      <c r="E848" s="2" t="s">
        <v>2613</v>
      </c>
      <c r="F848" s="3">
        <v>1</v>
      </c>
      <c r="G848" s="33">
        <v>32874</v>
      </c>
      <c r="H848" s="30">
        <v>44999</v>
      </c>
      <c r="I848" s="1"/>
      <c r="J848" s="1"/>
      <c r="K848" s="1"/>
      <c r="L848" s="1"/>
      <c r="M848" s="1"/>
      <c r="P848" s="3"/>
      <c r="R848" s="1"/>
      <c r="S848" s="1"/>
    </row>
    <row r="849" spans="1:19" x14ac:dyDescent="0.65">
      <c r="A849" s="34">
        <v>848</v>
      </c>
      <c r="B849" s="3" t="s">
        <v>2614</v>
      </c>
      <c r="C849" s="1" t="s">
        <v>2615</v>
      </c>
      <c r="D849" s="1">
        <v>59</v>
      </c>
      <c r="E849" s="2" t="s">
        <v>2616</v>
      </c>
      <c r="F849" s="3">
        <v>1</v>
      </c>
      <c r="G849" s="33">
        <v>32874</v>
      </c>
      <c r="H849" s="30">
        <v>43191</v>
      </c>
      <c r="I849" s="1"/>
      <c r="J849" s="1"/>
      <c r="K849" s="1"/>
      <c r="L849" s="1"/>
      <c r="M849" s="1"/>
      <c r="P849" s="3"/>
      <c r="R849" s="1"/>
      <c r="S849" s="1"/>
    </row>
    <row r="850" spans="1:19" x14ac:dyDescent="0.65">
      <c r="A850" s="34">
        <v>849</v>
      </c>
      <c r="B850" s="3" t="s">
        <v>2617</v>
      </c>
      <c r="C850" s="1" t="s">
        <v>2618</v>
      </c>
      <c r="D850" s="1">
        <v>59</v>
      </c>
      <c r="E850" s="2" t="s">
        <v>2619</v>
      </c>
      <c r="F850" s="3">
        <v>1</v>
      </c>
      <c r="G850" s="33">
        <v>32874</v>
      </c>
      <c r="H850" s="30">
        <v>43706</v>
      </c>
      <c r="I850" s="1"/>
      <c r="J850" s="1"/>
      <c r="K850" s="1"/>
      <c r="L850" s="1"/>
      <c r="M850" s="1"/>
      <c r="P850" s="3"/>
      <c r="R850" s="1"/>
      <c r="S850" s="1"/>
    </row>
    <row r="851" spans="1:19" x14ac:dyDescent="0.65">
      <c r="A851" s="34">
        <v>850</v>
      </c>
      <c r="B851" s="3" t="s">
        <v>2620</v>
      </c>
      <c r="C851" s="1" t="s">
        <v>2621</v>
      </c>
      <c r="D851" s="1">
        <v>59</v>
      </c>
      <c r="E851" s="2" t="s">
        <v>2622</v>
      </c>
      <c r="F851" s="3">
        <v>1</v>
      </c>
      <c r="G851" s="33">
        <v>32874</v>
      </c>
      <c r="H851" s="30">
        <v>43238</v>
      </c>
      <c r="I851" s="1"/>
      <c r="J851" s="1"/>
      <c r="K851" s="1"/>
      <c r="L851" s="1"/>
      <c r="M851" s="1"/>
      <c r="P851" s="3"/>
      <c r="R851" s="1"/>
      <c r="S851" s="1"/>
    </row>
    <row r="852" spans="1:19" x14ac:dyDescent="0.65">
      <c r="A852" s="34">
        <v>851</v>
      </c>
      <c r="B852" s="3" t="s">
        <v>2623</v>
      </c>
      <c r="C852" s="1" t="s">
        <v>2624</v>
      </c>
      <c r="D852" s="1">
        <v>59</v>
      </c>
      <c r="E852" s="2" t="s">
        <v>2625</v>
      </c>
      <c r="F852" s="3">
        <v>1</v>
      </c>
      <c r="G852" s="33">
        <v>32874</v>
      </c>
      <c r="H852" s="30">
        <v>44978</v>
      </c>
      <c r="I852" s="1"/>
      <c r="J852" s="1"/>
      <c r="K852" s="1"/>
      <c r="L852" s="1"/>
      <c r="M852" s="1"/>
      <c r="P852" s="3"/>
      <c r="R852" s="1"/>
      <c r="S852" s="1"/>
    </row>
    <row r="853" spans="1:19" x14ac:dyDescent="0.65">
      <c r="A853" s="34">
        <v>852</v>
      </c>
      <c r="B853" s="3" t="s">
        <v>2626</v>
      </c>
      <c r="C853" s="1" t="s">
        <v>2627</v>
      </c>
      <c r="D853" s="1">
        <v>59</v>
      </c>
      <c r="E853" s="2" t="s">
        <v>2628</v>
      </c>
      <c r="F853" s="3">
        <v>1</v>
      </c>
      <c r="G853" s="33">
        <v>32874</v>
      </c>
      <c r="H853" s="30">
        <v>45730.542557870373</v>
      </c>
      <c r="I853" s="1"/>
      <c r="J853" s="1"/>
      <c r="K853" s="1"/>
      <c r="L853" s="1"/>
      <c r="M853" s="1"/>
      <c r="P853" s="3"/>
      <c r="R853" s="1"/>
      <c r="S853" s="1"/>
    </row>
    <row r="854" spans="1:19" x14ac:dyDescent="0.65">
      <c r="A854" s="34">
        <v>853</v>
      </c>
      <c r="B854" s="3" t="s">
        <v>2629</v>
      </c>
      <c r="C854" s="1" t="s">
        <v>2630</v>
      </c>
      <c r="D854" s="1">
        <v>59</v>
      </c>
      <c r="E854" s="2" t="s">
        <v>2631</v>
      </c>
      <c r="F854" s="3">
        <v>1</v>
      </c>
      <c r="G854" s="33">
        <v>32874</v>
      </c>
      <c r="H854" s="30">
        <v>45730.542731481481</v>
      </c>
      <c r="I854" s="1"/>
      <c r="J854" s="1"/>
      <c r="K854" s="1"/>
      <c r="L854" s="1"/>
      <c r="M854" s="1"/>
      <c r="P854" s="3"/>
      <c r="R854" s="1"/>
      <c r="S854" s="1"/>
    </row>
    <row r="855" spans="1:19" x14ac:dyDescent="0.65">
      <c r="A855" s="34">
        <v>854</v>
      </c>
      <c r="B855" s="3" t="s">
        <v>2632</v>
      </c>
      <c r="C855" s="1" t="s">
        <v>2633</v>
      </c>
      <c r="D855" s="1">
        <v>59</v>
      </c>
      <c r="E855" s="2" t="s">
        <v>2634</v>
      </c>
      <c r="F855" s="3">
        <v>1</v>
      </c>
      <c r="G855" s="33">
        <v>32874</v>
      </c>
      <c r="H855" s="30">
        <v>45730.543229166666</v>
      </c>
      <c r="I855" s="1"/>
      <c r="J855" s="1"/>
      <c r="K855" s="1"/>
      <c r="L855" s="1"/>
      <c r="M855" s="1"/>
      <c r="P855" s="3"/>
      <c r="R855" s="1"/>
      <c r="S855" s="1"/>
    </row>
    <row r="856" spans="1:19" x14ac:dyDescent="0.65">
      <c r="A856" s="34">
        <v>855</v>
      </c>
      <c r="B856" s="3" t="s">
        <v>2635</v>
      </c>
      <c r="C856" s="1" t="s">
        <v>2636</v>
      </c>
      <c r="D856" s="1">
        <v>59</v>
      </c>
      <c r="E856" s="2" t="s">
        <v>2637</v>
      </c>
      <c r="F856" s="3">
        <v>1</v>
      </c>
      <c r="G856" s="33">
        <v>32874</v>
      </c>
      <c r="H856" s="30">
        <v>43553</v>
      </c>
      <c r="I856" s="1"/>
      <c r="J856" s="1"/>
      <c r="K856" s="1"/>
      <c r="L856" s="1"/>
      <c r="M856" s="1"/>
      <c r="P856" s="3"/>
      <c r="R856" s="1"/>
      <c r="S856" s="1" t="s">
        <v>2638</v>
      </c>
    </row>
    <row r="857" spans="1:19" x14ac:dyDescent="0.65">
      <c r="A857" s="34">
        <v>856</v>
      </c>
      <c r="B857" s="3" t="s">
        <v>2639</v>
      </c>
      <c r="C857" s="1" t="s">
        <v>2640</v>
      </c>
      <c r="D857" s="1">
        <v>61</v>
      </c>
      <c r="E857" s="2" t="s">
        <v>2641</v>
      </c>
      <c r="F857" s="3">
        <v>1</v>
      </c>
      <c r="G857" s="33">
        <v>32874</v>
      </c>
      <c r="H857" s="30">
        <v>43517</v>
      </c>
      <c r="I857" s="1"/>
      <c r="J857" s="1"/>
      <c r="K857" s="1"/>
      <c r="L857" s="1"/>
      <c r="M857" s="1"/>
      <c r="P857" s="3"/>
    </row>
    <row r="858" spans="1:19" x14ac:dyDescent="0.65">
      <c r="A858" s="34">
        <v>857</v>
      </c>
      <c r="B858" s="3" t="s">
        <v>2643</v>
      </c>
      <c r="C858" s="1" t="s">
        <v>2644</v>
      </c>
      <c r="D858" s="1">
        <v>59</v>
      </c>
      <c r="E858" s="2" t="s">
        <v>2645</v>
      </c>
      <c r="F858" s="3">
        <v>1</v>
      </c>
      <c r="G858" s="33">
        <v>32874</v>
      </c>
      <c r="H858" s="30">
        <v>45918.646793981483</v>
      </c>
      <c r="I858" s="1"/>
      <c r="J858" s="1"/>
      <c r="K858" s="1"/>
      <c r="L858" s="1"/>
      <c r="M858" s="1"/>
      <c r="P858" s="3"/>
      <c r="R858" s="1"/>
      <c r="S858" s="1"/>
    </row>
    <row r="859" spans="1:19" x14ac:dyDescent="0.65">
      <c r="A859" s="34">
        <v>858</v>
      </c>
      <c r="B859" s="3" t="s">
        <v>2646</v>
      </c>
      <c r="C859" s="1" t="s">
        <v>2647</v>
      </c>
      <c r="D859" s="1">
        <v>59</v>
      </c>
      <c r="E859" s="2" t="s">
        <v>2648</v>
      </c>
      <c r="F859" s="3">
        <v>1</v>
      </c>
      <c r="G859" s="33">
        <v>32874</v>
      </c>
      <c r="H859" s="30">
        <v>44957</v>
      </c>
      <c r="I859" s="1"/>
      <c r="J859" s="1"/>
      <c r="K859" s="1"/>
      <c r="L859" s="1"/>
      <c r="M859" s="1"/>
      <c r="P859" s="3"/>
      <c r="R859" s="1"/>
      <c r="S859" s="1"/>
    </row>
    <row r="860" spans="1:19" x14ac:dyDescent="0.65">
      <c r="A860" s="34">
        <v>859</v>
      </c>
      <c r="B860" s="3" t="s">
        <v>2649</v>
      </c>
      <c r="C860" s="1" t="s">
        <v>2650</v>
      </c>
      <c r="D860" s="1">
        <v>62</v>
      </c>
      <c r="E860" s="2" t="s">
        <v>2651</v>
      </c>
      <c r="F860" s="3">
        <v>1</v>
      </c>
      <c r="G860" s="33">
        <v>32874</v>
      </c>
      <c r="H860" s="30">
        <v>45461</v>
      </c>
      <c r="I860" s="1"/>
      <c r="J860" s="1"/>
      <c r="K860" s="1"/>
      <c r="L860" s="1"/>
      <c r="M860" s="1"/>
      <c r="P860" s="3"/>
    </row>
    <row r="861" spans="1:19" x14ac:dyDescent="0.65">
      <c r="A861" s="34">
        <v>860</v>
      </c>
      <c r="B861" s="3" t="s">
        <v>2652</v>
      </c>
      <c r="C861" s="1" t="s">
        <v>2653</v>
      </c>
      <c r="D861" s="1">
        <v>59</v>
      </c>
      <c r="E861" s="2" t="s">
        <v>2654</v>
      </c>
      <c r="F861" s="3">
        <v>1</v>
      </c>
      <c r="G861" s="33">
        <v>32874</v>
      </c>
      <c r="H861" s="30">
        <v>45890.729537037034</v>
      </c>
      <c r="I861" s="1"/>
      <c r="J861" s="1"/>
      <c r="K861" s="1"/>
      <c r="L861" s="1"/>
      <c r="M861" s="1"/>
      <c r="P861" s="3"/>
      <c r="R861" s="1"/>
      <c r="S861" s="1"/>
    </row>
    <row r="862" spans="1:19" x14ac:dyDescent="0.65">
      <c r="A862" s="34">
        <v>861</v>
      </c>
      <c r="B862" s="3" t="s">
        <v>2655</v>
      </c>
      <c r="C862" s="1" t="s">
        <v>2656</v>
      </c>
      <c r="D862" s="1">
        <v>59</v>
      </c>
      <c r="E862" s="2" t="s">
        <v>2657</v>
      </c>
      <c r="F862" s="3">
        <v>1</v>
      </c>
      <c r="G862" s="33">
        <v>32874</v>
      </c>
      <c r="H862" s="30">
        <v>44014</v>
      </c>
      <c r="I862" s="1"/>
      <c r="J862" s="1"/>
      <c r="K862" s="1"/>
      <c r="L862" s="1"/>
      <c r="M862" s="1"/>
      <c r="P862" s="3"/>
      <c r="R862" s="1"/>
      <c r="S862" s="1"/>
    </row>
    <row r="863" spans="1:19" x14ac:dyDescent="0.65">
      <c r="A863" s="34">
        <v>862</v>
      </c>
      <c r="B863" s="3" t="s">
        <v>2658</v>
      </c>
      <c r="C863" s="1" t="s">
        <v>2659</v>
      </c>
      <c r="D863" s="1">
        <v>59</v>
      </c>
      <c r="E863" s="2" t="s">
        <v>2660</v>
      </c>
      <c r="F863" s="3">
        <v>1</v>
      </c>
      <c r="G863" s="33">
        <v>32874</v>
      </c>
      <c r="H863" s="30">
        <v>45307</v>
      </c>
      <c r="I863" s="1"/>
      <c r="J863" s="1"/>
      <c r="K863" s="1"/>
      <c r="L863" s="1"/>
      <c r="M863" s="1"/>
      <c r="P863" s="3"/>
      <c r="R863" s="1"/>
      <c r="S863" s="1"/>
    </row>
    <row r="864" spans="1:19" x14ac:dyDescent="0.65">
      <c r="A864" s="34">
        <v>863</v>
      </c>
      <c r="B864" s="3" t="s">
        <v>2661</v>
      </c>
      <c r="C864" s="1" t="s">
        <v>2662</v>
      </c>
      <c r="D864" s="1">
        <v>59</v>
      </c>
      <c r="E864" s="2" t="s">
        <v>2663</v>
      </c>
      <c r="F864" s="3">
        <v>1</v>
      </c>
      <c r="G864" s="33">
        <v>32874</v>
      </c>
      <c r="H864" s="30">
        <v>43852</v>
      </c>
      <c r="I864" s="1"/>
      <c r="J864" s="1"/>
      <c r="K864" s="1"/>
      <c r="L864" s="1"/>
      <c r="M864" s="1"/>
      <c r="P864" s="3"/>
      <c r="R864" s="1"/>
      <c r="S864" s="1"/>
    </row>
    <row r="865" spans="1:19" x14ac:dyDescent="0.65">
      <c r="A865" s="34">
        <v>864</v>
      </c>
      <c r="B865" s="3" t="s">
        <v>2664</v>
      </c>
      <c r="C865" s="1" t="s">
        <v>2665</v>
      </c>
      <c r="D865" s="1">
        <v>59</v>
      </c>
      <c r="E865" s="2" t="s">
        <v>2666</v>
      </c>
      <c r="F865" s="3">
        <v>1</v>
      </c>
      <c r="G865" s="33">
        <v>32874</v>
      </c>
      <c r="H865" s="30">
        <v>44476</v>
      </c>
      <c r="I865" s="1"/>
      <c r="J865" s="1"/>
      <c r="K865" s="1"/>
      <c r="L865" s="1"/>
      <c r="M865" s="1"/>
      <c r="P865" s="3"/>
      <c r="R865" s="1"/>
      <c r="S865" s="1" t="s">
        <v>2667</v>
      </c>
    </row>
    <row r="866" spans="1:19" x14ac:dyDescent="0.65">
      <c r="A866" s="34">
        <v>865</v>
      </c>
      <c r="B866" s="3" t="s">
        <v>2668</v>
      </c>
      <c r="C866" s="1" t="s">
        <v>2669</v>
      </c>
      <c r="D866" s="1">
        <v>59</v>
      </c>
      <c r="E866" s="2" t="s">
        <v>2670</v>
      </c>
      <c r="F866" s="3">
        <v>1</v>
      </c>
      <c r="G866" s="33">
        <v>32874</v>
      </c>
      <c r="H866" s="30">
        <v>44747</v>
      </c>
      <c r="I866" s="1"/>
      <c r="J866" s="1"/>
      <c r="K866" s="1"/>
      <c r="L866" s="1"/>
      <c r="M866" s="1"/>
      <c r="P866" s="3"/>
      <c r="R866" s="1"/>
      <c r="S866" s="1"/>
    </row>
    <row r="867" spans="1:19" x14ac:dyDescent="0.65">
      <c r="A867" s="34">
        <v>866</v>
      </c>
      <c r="B867" s="3" t="s">
        <v>2671</v>
      </c>
      <c r="C867" s="1" t="s">
        <v>2672</v>
      </c>
      <c r="D867" s="1">
        <v>59</v>
      </c>
      <c r="E867" s="2" t="s">
        <v>2673</v>
      </c>
      <c r="F867" s="3">
        <v>1</v>
      </c>
      <c r="G867" s="33">
        <v>32874</v>
      </c>
      <c r="H867" s="30">
        <v>44652</v>
      </c>
      <c r="I867" s="1"/>
      <c r="J867" s="1"/>
      <c r="K867" s="1"/>
      <c r="L867" s="1"/>
      <c r="M867" s="1"/>
      <c r="P867" s="3"/>
      <c r="R867" s="1"/>
      <c r="S867" s="1"/>
    </row>
    <row r="868" spans="1:19" x14ac:dyDescent="0.65">
      <c r="A868" s="34">
        <v>867</v>
      </c>
      <c r="B868" s="3" t="s">
        <v>2674</v>
      </c>
      <c r="C868" s="1" t="s">
        <v>2675</v>
      </c>
      <c r="D868" s="1">
        <v>59</v>
      </c>
      <c r="E868" s="2" t="s">
        <v>2676</v>
      </c>
      <c r="F868" s="3">
        <v>1</v>
      </c>
      <c r="G868" s="33">
        <v>32874</v>
      </c>
      <c r="H868" s="30">
        <v>44166</v>
      </c>
      <c r="I868" s="1"/>
      <c r="J868" s="1"/>
      <c r="K868" s="1"/>
      <c r="L868" s="1"/>
      <c r="M868" s="1"/>
      <c r="P868" s="3"/>
      <c r="R868" s="1"/>
      <c r="S868" s="1"/>
    </row>
    <row r="869" spans="1:19" x14ac:dyDescent="0.65">
      <c r="A869" s="34">
        <v>868</v>
      </c>
      <c r="B869" s="3" t="s">
        <v>2677</v>
      </c>
      <c r="C869" s="1" t="s">
        <v>2678</v>
      </c>
      <c r="D869" s="1">
        <v>59</v>
      </c>
      <c r="E869" s="2" t="s">
        <v>2679</v>
      </c>
      <c r="F869" s="3">
        <v>1</v>
      </c>
      <c r="G869" s="33">
        <v>32874</v>
      </c>
      <c r="H869" s="30">
        <v>44186</v>
      </c>
      <c r="I869" s="1"/>
      <c r="J869" s="1"/>
      <c r="K869" s="1"/>
      <c r="L869" s="1"/>
      <c r="M869" s="1"/>
      <c r="P869" s="3"/>
      <c r="R869" s="1"/>
      <c r="S869" s="1"/>
    </row>
    <row r="870" spans="1:19" x14ac:dyDescent="0.65">
      <c r="A870" s="34">
        <v>869</v>
      </c>
      <c r="B870" s="3" t="s">
        <v>2680</v>
      </c>
      <c r="C870" s="1" t="s">
        <v>2681</v>
      </c>
      <c r="D870" s="1">
        <v>59</v>
      </c>
      <c r="E870" s="2" t="s">
        <v>2682</v>
      </c>
      <c r="F870" s="3">
        <v>1</v>
      </c>
      <c r="G870" s="33">
        <v>32874</v>
      </c>
      <c r="H870" s="30">
        <v>44292</v>
      </c>
      <c r="I870" s="1"/>
      <c r="J870" s="1"/>
      <c r="K870" s="1"/>
      <c r="L870" s="1"/>
      <c r="M870" s="1"/>
      <c r="P870" s="3"/>
      <c r="R870" s="1"/>
      <c r="S870" s="1"/>
    </row>
    <row r="871" spans="1:19" x14ac:dyDescent="0.65">
      <c r="A871" s="34">
        <v>870</v>
      </c>
      <c r="B871" s="3" t="s">
        <v>2683</v>
      </c>
      <c r="C871" s="1" t="s">
        <v>2684</v>
      </c>
      <c r="D871" s="1">
        <v>59</v>
      </c>
      <c r="E871" s="2" t="s">
        <v>2685</v>
      </c>
      <c r="F871" s="3">
        <v>1</v>
      </c>
      <c r="G871" s="33">
        <v>32874</v>
      </c>
      <c r="H871" s="30">
        <v>44341</v>
      </c>
      <c r="I871" s="1"/>
      <c r="J871" s="1"/>
      <c r="K871" s="1"/>
      <c r="L871" s="1"/>
      <c r="M871" s="1"/>
      <c r="P871" s="3"/>
      <c r="R871" s="1"/>
      <c r="S871" s="1"/>
    </row>
    <row r="872" spans="1:19" x14ac:dyDescent="0.65">
      <c r="A872" s="34">
        <v>871</v>
      </c>
      <c r="B872" s="3" t="s">
        <v>2686</v>
      </c>
      <c r="C872" s="1" t="s">
        <v>2687</v>
      </c>
      <c r="D872" s="1">
        <v>59</v>
      </c>
      <c r="E872" s="2" t="s">
        <v>2688</v>
      </c>
      <c r="F872" s="3">
        <v>1</v>
      </c>
      <c r="G872" s="33">
        <v>32874</v>
      </c>
      <c r="H872" s="30">
        <v>44468</v>
      </c>
      <c r="I872" s="1"/>
      <c r="J872" s="1"/>
      <c r="K872" s="1"/>
      <c r="L872" s="1"/>
      <c r="M872" s="1"/>
      <c r="P872" s="3"/>
      <c r="R872" s="1"/>
      <c r="S872" s="1"/>
    </row>
    <row r="873" spans="1:19" x14ac:dyDescent="0.65">
      <c r="A873" s="34">
        <v>872</v>
      </c>
      <c r="B873" s="3" t="s">
        <v>2689</v>
      </c>
      <c r="C873" s="1" t="s">
        <v>2690</v>
      </c>
      <c r="D873" s="1">
        <v>59</v>
      </c>
      <c r="E873" s="2" t="s">
        <v>2691</v>
      </c>
      <c r="F873" s="3">
        <v>1</v>
      </c>
      <c r="G873" s="33">
        <v>32874</v>
      </c>
      <c r="H873" s="30">
        <v>45091</v>
      </c>
      <c r="I873" s="1"/>
      <c r="J873" s="1"/>
      <c r="K873" s="1"/>
      <c r="L873" s="1"/>
      <c r="M873" s="1"/>
      <c r="P873" s="3"/>
      <c r="R873" s="1"/>
      <c r="S873" s="1"/>
    </row>
    <row r="874" spans="1:19" x14ac:dyDescent="0.65">
      <c r="A874" s="34">
        <v>873</v>
      </c>
      <c r="B874" s="3" t="s">
        <v>2692</v>
      </c>
      <c r="C874" s="1" t="s">
        <v>2693</v>
      </c>
      <c r="D874" s="1">
        <v>59</v>
      </c>
      <c r="E874" s="2" t="s">
        <v>2694</v>
      </c>
      <c r="F874" s="3">
        <v>1</v>
      </c>
      <c r="G874" s="33">
        <v>32874</v>
      </c>
      <c r="H874" s="30">
        <v>44540</v>
      </c>
      <c r="I874" s="1"/>
      <c r="J874" s="1"/>
      <c r="K874" s="1"/>
      <c r="L874" s="1"/>
      <c r="M874" s="1"/>
      <c r="P874" s="3"/>
      <c r="R874" s="1"/>
      <c r="S874" s="1"/>
    </row>
    <row r="875" spans="1:19" x14ac:dyDescent="0.65">
      <c r="A875" s="34">
        <v>874</v>
      </c>
      <c r="B875" s="3" t="s">
        <v>2695</v>
      </c>
      <c r="C875" s="1" t="s">
        <v>2696</v>
      </c>
      <c r="D875" s="1">
        <v>59</v>
      </c>
      <c r="E875" s="2" t="s">
        <v>2697</v>
      </c>
      <c r="F875" s="3">
        <v>1</v>
      </c>
      <c r="G875" s="33">
        <v>32874</v>
      </c>
      <c r="H875" s="30">
        <v>45679.653124999997</v>
      </c>
      <c r="I875" s="1"/>
      <c r="J875" s="1"/>
      <c r="K875" s="1"/>
      <c r="L875" s="1"/>
      <c r="M875" s="1"/>
      <c r="P875" s="3"/>
      <c r="R875" s="1"/>
      <c r="S875" s="1"/>
    </row>
    <row r="876" spans="1:19" x14ac:dyDescent="0.65">
      <c r="A876" s="34">
        <v>875</v>
      </c>
      <c r="B876" s="3" t="s">
        <v>2698</v>
      </c>
      <c r="C876" s="1" t="s">
        <v>2699</v>
      </c>
      <c r="D876" s="1">
        <v>59</v>
      </c>
      <c r="E876" s="2" t="s">
        <v>2700</v>
      </c>
      <c r="F876" s="3">
        <v>1</v>
      </c>
      <c r="G876" s="33">
        <v>32874</v>
      </c>
      <c r="H876" s="30">
        <v>45754.635509259257</v>
      </c>
      <c r="I876" s="1"/>
      <c r="J876" s="1"/>
      <c r="K876" s="1"/>
      <c r="L876" s="1"/>
      <c r="M876" s="1"/>
      <c r="P876" s="3"/>
      <c r="R876" s="1"/>
      <c r="S876" s="1"/>
    </row>
    <row r="877" spans="1:19" x14ac:dyDescent="0.65">
      <c r="A877" s="34">
        <v>876</v>
      </c>
      <c r="B877" s="3" t="s">
        <v>2701</v>
      </c>
      <c r="C877" s="1" t="s">
        <v>2702</v>
      </c>
      <c r="D877" s="1">
        <v>59</v>
      </c>
      <c r="E877" s="2" t="s">
        <v>2703</v>
      </c>
      <c r="F877" s="3">
        <v>1</v>
      </c>
      <c r="G877" s="33">
        <v>32874</v>
      </c>
      <c r="H877" s="30">
        <v>44903</v>
      </c>
      <c r="I877" s="1"/>
      <c r="J877" s="1"/>
      <c r="K877" s="1"/>
      <c r="L877" s="1"/>
      <c r="M877" s="1"/>
      <c r="P877" s="3"/>
      <c r="R877" s="1"/>
      <c r="S877" s="1"/>
    </row>
    <row r="878" spans="1:19" x14ac:dyDescent="0.65">
      <c r="A878" s="34">
        <v>877</v>
      </c>
      <c r="B878" s="3" t="s">
        <v>2704</v>
      </c>
      <c r="C878" s="1" t="s">
        <v>2705</v>
      </c>
      <c r="D878" s="1">
        <v>59</v>
      </c>
      <c r="E878" s="2" t="s">
        <v>2706</v>
      </c>
      <c r="F878" s="3">
        <v>1</v>
      </c>
      <c r="G878" s="33">
        <v>32874</v>
      </c>
      <c r="H878" s="30">
        <v>44728</v>
      </c>
      <c r="I878" s="1"/>
      <c r="J878" s="1"/>
      <c r="K878" s="1"/>
      <c r="L878" s="1"/>
      <c r="M878" s="1"/>
      <c r="P878" s="3"/>
      <c r="R878" s="1"/>
      <c r="S878" s="1"/>
    </row>
    <row r="879" spans="1:19" x14ac:dyDescent="0.65">
      <c r="A879" s="34">
        <v>878</v>
      </c>
      <c r="B879" s="3" t="s">
        <v>2707</v>
      </c>
      <c r="C879" s="1" t="s">
        <v>2708</v>
      </c>
      <c r="D879" s="1">
        <v>59</v>
      </c>
      <c r="E879" s="2" t="s">
        <v>2709</v>
      </c>
      <c r="F879" s="3">
        <v>1</v>
      </c>
      <c r="G879" s="33">
        <v>32874</v>
      </c>
      <c r="H879" s="30">
        <v>45890.729432870372</v>
      </c>
      <c r="I879" s="1"/>
      <c r="J879" s="1"/>
      <c r="K879" s="1"/>
      <c r="L879" s="1"/>
      <c r="M879" s="1"/>
      <c r="P879" s="3"/>
      <c r="R879" s="1"/>
      <c r="S879" s="1"/>
    </row>
    <row r="880" spans="1:19" x14ac:dyDescent="0.65">
      <c r="A880" s="34">
        <v>879</v>
      </c>
      <c r="B880" s="3" t="s">
        <v>2710</v>
      </c>
      <c r="C880" s="1" t="s">
        <v>2711</v>
      </c>
      <c r="D880" s="1">
        <v>59</v>
      </c>
      <c r="E880" s="2" t="s">
        <v>2712</v>
      </c>
      <c r="F880" s="3">
        <v>1</v>
      </c>
      <c r="G880" s="33">
        <v>32874</v>
      </c>
      <c r="H880" s="30">
        <v>44804</v>
      </c>
      <c r="I880" s="1"/>
      <c r="J880" s="1"/>
      <c r="K880" s="1"/>
      <c r="L880" s="1"/>
      <c r="M880" s="1"/>
      <c r="P880" s="3"/>
      <c r="R880" s="1"/>
      <c r="S880" s="1"/>
    </row>
    <row r="881" spans="1:19" x14ac:dyDescent="0.65">
      <c r="A881" s="34">
        <v>880</v>
      </c>
      <c r="B881" s="3" t="s">
        <v>2713</v>
      </c>
      <c r="C881" s="1" t="s">
        <v>2714</v>
      </c>
      <c r="D881" s="1">
        <v>59</v>
      </c>
      <c r="E881" s="2" t="s">
        <v>2715</v>
      </c>
      <c r="F881" s="3">
        <v>1</v>
      </c>
      <c r="G881" s="33">
        <v>32874</v>
      </c>
      <c r="H881" s="30">
        <v>44797</v>
      </c>
      <c r="I881" s="1"/>
      <c r="J881" s="1"/>
      <c r="K881" s="1"/>
      <c r="L881" s="1"/>
      <c r="M881" s="1"/>
      <c r="P881" s="3"/>
      <c r="R881" s="1"/>
      <c r="S881" s="1"/>
    </row>
    <row r="882" spans="1:19" x14ac:dyDescent="0.65">
      <c r="A882" s="34">
        <v>881</v>
      </c>
      <c r="B882" s="3" t="s">
        <v>2716</v>
      </c>
      <c r="C882" s="1" t="s">
        <v>2717</v>
      </c>
      <c r="D882" s="1">
        <v>59</v>
      </c>
      <c r="E882" s="2" t="s">
        <v>2718</v>
      </c>
      <c r="F882" s="3">
        <v>1</v>
      </c>
      <c r="G882" s="33">
        <v>32874</v>
      </c>
      <c r="H882" s="30">
        <v>45356</v>
      </c>
      <c r="I882" s="1"/>
      <c r="J882" s="1"/>
      <c r="K882" s="1"/>
      <c r="L882" s="1"/>
      <c r="M882" s="1"/>
      <c r="P882" s="3"/>
      <c r="R882" s="1"/>
      <c r="S882" s="1"/>
    </row>
    <row r="883" spans="1:19" x14ac:dyDescent="0.65">
      <c r="A883" s="34">
        <v>882</v>
      </c>
      <c r="B883" s="3" t="s">
        <v>2719</v>
      </c>
      <c r="C883" s="1" t="s">
        <v>2720</v>
      </c>
      <c r="D883" s="1">
        <v>59</v>
      </c>
      <c r="E883" s="2" t="s">
        <v>2721</v>
      </c>
      <c r="F883" s="3">
        <v>1</v>
      </c>
      <c r="G883" s="33">
        <v>32874</v>
      </c>
      <c r="H883" s="30">
        <v>44865</v>
      </c>
      <c r="I883" s="1"/>
      <c r="J883" s="1"/>
      <c r="K883" s="1"/>
      <c r="L883" s="1"/>
      <c r="M883" s="1"/>
      <c r="P883" s="3"/>
      <c r="R883" s="1"/>
      <c r="S883" s="1"/>
    </row>
    <row r="884" spans="1:19" x14ac:dyDescent="0.65">
      <c r="A884" s="34">
        <v>883</v>
      </c>
      <c r="B884" s="3" t="s">
        <v>2722</v>
      </c>
      <c r="C884" s="1" t="s">
        <v>2723</v>
      </c>
      <c r="D884" s="1">
        <v>59</v>
      </c>
      <c r="E884" s="2" t="s">
        <v>2724</v>
      </c>
      <c r="F884" s="3">
        <v>1</v>
      </c>
      <c r="G884" s="33">
        <v>32874</v>
      </c>
      <c r="H884" s="30">
        <v>44873</v>
      </c>
      <c r="I884" s="1"/>
      <c r="J884" s="1"/>
      <c r="K884" s="1"/>
      <c r="L884" s="1"/>
      <c r="M884" s="1"/>
      <c r="P884" s="3"/>
      <c r="R884" s="1"/>
      <c r="S884" s="1"/>
    </row>
    <row r="885" spans="1:19" x14ac:dyDescent="0.65">
      <c r="A885" s="34">
        <v>884</v>
      </c>
      <c r="B885" s="3" t="s">
        <v>2725</v>
      </c>
      <c r="C885" s="1" t="s">
        <v>2726</v>
      </c>
      <c r="D885" s="1">
        <v>59</v>
      </c>
      <c r="E885" s="2" t="s">
        <v>2727</v>
      </c>
      <c r="F885" s="3">
        <v>1</v>
      </c>
      <c r="G885" s="33">
        <v>32874</v>
      </c>
      <c r="H885" s="30">
        <v>44960</v>
      </c>
      <c r="I885" s="1"/>
      <c r="J885" s="1"/>
      <c r="K885" s="1"/>
      <c r="L885" s="1"/>
      <c r="M885" s="1"/>
      <c r="P885" s="3"/>
      <c r="R885" s="1"/>
      <c r="S885" s="1"/>
    </row>
    <row r="886" spans="1:19" x14ac:dyDescent="0.65">
      <c r="A886" s="34">
        <v>885</v>
      </c>
      <c r="B886" s="3" t="s">
        <v>2728</v>
      </c>
      <c r="C886" s="1" t="s">
        <v>2729</v>
      </c>
      <c r="D886" s="1">
        <v>59</v>
      </c>
      <c r="E886" s="2" t="s">
        <v>2730</v>
      </c>
      <c r="F886" s="3">
        <v>1</v>
      </c>
      <c r="G886" s="33">
        <v>32874</v>
      </c>
      <c r="H886" s="30">
        <v>45110</v>
      </c>
      <c r="I886" s="1"/>
      <c r="J886" s="1"/>
      <c r="K886" s="1"/>
      <c r="L886" s="1"/>
      <c r="M886" s="1"/>
      <c r="P886" s="3"/>
      <c r="R886" s="1"/>
      <c r="S886" s="1"/>
    </row>
    <row r="887" spans="1:19" x14ac:dyDescent="0.65">
      <c r="A887" s="34">
        <v>886</v>
      </c>
      <c r="B887" s="3" t="s">
        <v>2731</v>
      </c>
      <c r="C887" s="1" t="s">
        <v>2732</v>
      </c>
      <c r="D887" s="1">
        <v>59</v>
      </c>
      <c r="E887" s="2" t="s">
        <v>2733</v>
      </c>
      <c r="F887" s="3">
        <v>1</v>
      </c>
      <c r="G887" s="33">
        <v>32874</v>
      </c>
      <c r="H887" s="30">
        <v>45715.836967592593</v>
      </c>
      <c r="I887" s="1"/>
      <c r="J887" s="1"/>
      <c r="K887" s="1"/>
      <c r="L887" s="1"/>
      <c r="M887" s="1"/>
      <c r="P887" s="3"/>
      <c r="R887" s="1"/>
      <c r="S887" s="1"/>
    </row>
    <row r="888" spans="1:19" x14ac:dyDescent="0.65">
      <c r="A888" s="34">
        <v>887</v>
      </c>
      <c r="B888" s="3" t="s">
        <v>2734</v>
      </c>
      <c r="C888" s="1" t="s">
        <v>2735</v>
      </c>
      <c r="D888" s="1">
        <v>59</v>
      </c>
      <c r="E888" s="2" t="s">
        <v>2736</v>
      </c>
      <c r="F888" s="3">
        <v>1</v>
      </c>
      <c r="G888" s="33">
        <v>32874</v>
      </c>
      <c r="H888" s="30">
        <v>45105</v>
      </c>
      <c r="I888" s="1"/>
      <c r="J888" s="1"/>
      <c r="K888" s="1"/>
      <c r="L888" s="1"/>
      <c r="M888" s="1"/>
      <c r="P888" s="3"/>
      <c r="R888" s="1"/>
      <c r="S888" s="1"/>
    </row>
    <row r="889" spans="1:19" x14ac:dyDescent="0.65">
      <c r="A889" s="34">
        <v>888</v>
      </c>
      <c r="B889" s="3" t="s">
        <v>2737</v>
      </c>
      <c r="C889" s="1" t="s">
        <v>2738</v>
      </c>
      <c r="D889" s="1">
        <v>59</v>
      </c>
      <c r="E889" s="2" t="s">
        <v>2739</v>
      </c>
      <c r="F889" s="3">
        <v>1</v>
      </c>
      <c r="G889" s="33">
        <v>32874</v>
      </c>
      <c r="H889" s="30">
        <v>44958</v>
      </c>
      <c r="I889" s="1"/>
      <c r="J889" s="1"/>
      <c r="K889" s="1"/>
      <c r="L889" s="1"/>
      <c r="M889" s="1"/>
      <c r="P889" s="3"/>
      <c r="R889" s="1"/>
      <c r="S889" s="1"/>
    </row>
    <row r="890" spans="1:19" x14ac:dyDescent="0.65">
      <c r="A890" s="34">
        <v>889</v>
      </c>
      <c r="B890" s="3" t="s">
        <v>2740</v>
      </c>
      <c r="C890" s="1" t="s">
        <v>2741</v>
      </c>
      <c r="D890" s="1">
        <v>59</v>
      </c>
      <c r="E890" s="2" t="s">
        <v>2742</v>
      </c>
      <c r="F890" s="3">
        <v>1</v>
      </c>
      <c r="G890" s="33">
        <v>32874</v>
      </c>
      <c r="H890" s="30">
        <v>44958</v>
      </c>
      <c r="I890" s="1"/>
      <c r="J890" s="1"/>
      <c r="K890" s="1"/>
      <c r="L890" s="1"/>
      <c r="M890" s="1"/>
      <c r="P890" s="3"/>
      <c r="R890" s="1"/>
      <c r="S890" s="1"/>
    </row>
    <row r="891" spans="1:19" x14ac:dyDescent="0.65">
      <c r="A891" s="34">
        <v>890</v>
      </c>
      <c r="B891" s="3" t="s">
        <v>2743</v>
      </c>
      <c r="C891" s="1" t="s">
        <v>2744</v>
      </c>
      <c r="D891" s="1">
        <v>59</v>
      </c>
      <c r="E891" s="2" t="s">
        <v>2745</v>
      </c>
      <c r="F891" s="3">
        <v>1</v>
      </c>
      <c r="G891" s="33">
        <v>32874</v>
      </c>
      <c r="H891" s="30">
        <v>44964</v>
      </c>
      <c r="I891" s="1"/>
      <c r="J891" s="1"/>
      <c r="K891" s="1"/>
      <c r="L891" s="1"/>
      <c r="M891" s="1"/>
      <c r="P891" s="3"/>
      <c r="R891" s="1"/>
      <c r="S891" s="1"/>
    </row>
    <row r="892" spans="1:19" x14ac:dyDescent="0.65">
      <c r="A892" s="34">
        <v>891</v>
      </c>
      <c r="B892" s="3" t="s">
        <v>2746</v>
      </c>
      <c r="C892" s="1" t="s">
        <v>2747</v>
      </c>
      <c r="D892" s="1">
        <v>59</v>
      </c>
      <c r="E892" s="2" t="s">
        <v>2748</v>
      </c>
      <c r="F892" s="3">
        <v>1</v>
      </c>
      <c r="G892" s="33">
        <v>32874</v>
      </c>
      <c r="H892" s="30">
        <v>45379</v>
      </c>
      <c r="I892" s="1"/>
      <c r="J892" s="1"/>
      <c r="K892" s="1"/>
      <c r="L892" s="1"/>
      <c r="M892" s="1"/>
      <c r="P892" s="3"/>
      <c r="R892" s="1"/>
      <c r="S892" s="1"/>
    </row>
    <row r="893" spans="1:19" x14ac:dyDescent="0.65">
      <c r="A893" s="34">
        <v>892</v>
      </c>
      <c r="B893" s="3" t="s">
        <v>2749</v>
      </c>
      <c r="C893" s="1" t="s">
        <v>2750</v>
      </c>
      <c r="D893" s="1">
        <v>62</v>
      </c>
      <c r="E893" s="2" t="s">
        <v>2751</v>
      </c>
      <c r="F893" s="3">
        <v>1</v>
      </c>
      <c r="G893" s="33">
        <v>32874</v>
      </c>
      <c r="H893" s="30">
        <v>45789.759814814817</v>
      </c>
      <c r="I893" s="1"/>
      <c r="J893" s="1"/>
      <c r="K893" s="1"/>
      <c r="L893" s="1"/>
      <c r="M893" s="1"/>
      <c r="P893" s="3"/>
      <c r="R893" s="1"/>
      <c r="S893" s="1"/>
    </row>
    <row r="894" spans="1:19" x14ac:dyDescent="0.65">
      <c r="A894" s="34">
        <v>893</v>
      </c>
      <c r="B894" s="3" t="s">
        <v>2752</v>
      </c>
      <c r="C894" s="1" t="s">
        <v>2753</v>
      </c>
      <c r="D894" s="1">
        <v>59</v>
      </c>
      <c r="E894" s="2" t="s">
        <v>2754</v>
      </c>
      <c r="F894" s="3">
        <v>1</v>
      </c>
      <c r="G894" s="33">
        <v>32874</v>
      </c>
      <c r="H894" s="30">
        <v>44994</v>
      </c>
      <c r="I894" s="1"/>
      <c r="J894" s="1"/>
      <c r="K894" s="1"/>
      <c r="L894" s="1"/>
      <c r="M894" s="1"/>
      <c r="P894" s="3"/>
      <c r="R894" s="1"/>
      <c r="S894" s="1"/>
    </row>
    <row r="895" spans="1:19" x14ac:dyDescent="0.65">
      <c r="A895" s="34">
        <v>894</v>
      </c>
      <c r="B895" s="3" t="s">
        <v>2755</v>
      </c>
      <c r="C895" s="1" t="s">
        <v>2756</v>
      </c>
      <c r="D895" s="1">
        <v>59</v>
      </c>
      <c r="E895" s="2" t="s">
        <v>2757</v>
      </c>
      <c r="F895" s="3">
        <v>1</v>
      </c>
      <c r="G895" s="33">
        <v>32874</v>
      </c>
      <c r="H895" s="30">
        <v>45106</v>
      </c>
      <c r="I895" s="1"/>
      <c r="J895" s="1"/>
      <c r="K895" s="1"/>
      <c r="L895" s="1"/>
      <c r="M895" s="1"/>
      <c r="P895" s="3"/>
      <c r="R895" s="1"/>
      <c r="S895" s="1"/>
    </row>
    <row r="896" spans="1:19" x14ac:dyDescent="0.65">
      <c r="A896" s="34">
        <v>895</v>
      </c>
      <c r="B896" s="3" t="s">
        <v>2758</v>
      </c>
      <c r="C896" s="1" t="s">
        <v>2759</v>
      </c>
      <c r="D896" s="1">
        <v>59</v>
      </c>
      <c r="E896" s="2" t="s">
        <v>2760</v>
      </c>
      <c r="F896" s="3">
        <v>1</v>
      </c>
      <c r="G896" s="33">
        <v>32874</v>
      </c>
      <c r="H896" s="30">
        <v>45191</v>
      </c>
      <c r="I896" s="1"/>
      <c r="J896" s="1"/>
      <c r="K896" s="1"/>
      <c r="L896" s="1"/>
      <c r="M896" s="1"/>
      <c r="P896" s="3"/>
      <c r="R896" s="1"/>
      <c r="S896" s="1"/>
    </row>
    <row r="897" spans="1:19" x14ac:dyDescent="0.65">
      <c r="A897" s="34">
        <v>896</v>
      </c>
      <c r="B897" s="3" t="s">
        <v>2761</v>
      </c>
      <c r="C897" s="1" t="s">
        <v>2762</v>
      </c>
      <c r="D897" s="1">
        <v>62</v>
      </c>
      <c r="E897" s="2" t="s">
        <v>2763</v>
      </c>
      <c r="F897" s="3">
        <v>1</v>
      </c>
      <c r="G897" s="33">
        <v>32874</v>
      </c>
      <c r="H897" s="30">
        <v>45281</v>
      </c>
      <c r="I897" s="1"/>
      <c r="J897" s="1"/>
      <c r="K897" s="1"/>
      <c r="L897" s="1"/>
      <c r="M897" s="1"/>
      <c r="P897" s="3"/>
      <c r="R897" s="1"/>
      <c r="S897" s="1"/>
    </row>
    <row r="898" spans="1:19" x14ac:dyDescent="0.65">
      <c r="A898" s="34">
        <v>897</v>
      </c>
      <c r="B898" s="3" t="s">
        <v>2764</v>
      </c>
      <c r="C898" s="1" t="s">
        <v>2765</v>
      </c>
      <c r="D898" s="1">
        <v>59</v>
      </c>
      <c r="E898" s="2" t="s">
        <v>2766</v>
      </c>
      <c r="F898" s="3">
        <v>1</v>
      </c>
      <c r="G898" s="33">
        <v>32874</v>
      </c>
      <c r="H898" s="30">
        <v>45357</v>
      </c>
      <c r="I898" s="1"/>
      <c r="J898" s="1"/>
      <c r="K898" s="1"/>
      <c r="L898" s="1"/>
      <c r="M898" s="1"/>
      <c r="P898" s="3"/>
      <c r="R898" s="1"/>
      <c r="S898" s="1"/>
    </row>
    <row r="899" spans="1:19" x14ac:dyDescent="0.65">
      <c r="A899" s="34">
        <v>898</v>
      </c>
      <c r="B899" s="3" t="s">
        <v>2767</v>
      </c>
      <c r="C899" s="1" t="s">
        <v>2768</v>
      </c>
      <c r="D899" s="1">
        <v>59</v>
      </c>
      <c r="E899" s="2" t="s">
        <v>2769</v>
      </c>
      <c r="F899" s="3">
        <v>1</v>
      </c>
      <c r="G899" s="33">
        <v>32874</v>
      </c>
      <c r="H899" s="30">
        <v>45918.746423611112</v>
      </c>
      <c r="I899" s="1"/>
      <c r="J899" s="1"/>
      <c r="K899" s="1"/>
      <c r="L899" s="1"/>
      <c r="M899" s="1"/>
      <c r="P899" s="3"/>
      <c r="R899" s="1"/>
      <c r="S899" s="1"/>
    </row>
    <row r="900" spans="1:19" x14ac:dyDescent="0.65">
      <c r="A900" s="34">
        <v>899</v>
      </c>
      <c r="B900" s="3" t="s">
        <v>2770</v>
      </c>
      <c r="C900" s="1" t="s">
        <v>2771</v>
      </c>
      <c r="D900" s="1">
        <v>59</v>
      </c>
      <c r="E900" s="2" t="s">
        <v>2772</v>
      </c>
      <c r="F900" s="3">
        <v>1</v>
      </c>
      <c r="G900" s="33">
        <v>32874</v>
      </c>
      <c r="H900" s="30">
        <v>45951.537997685184</v>
      </c>
      <c r="I900" s="1"/>
      <c r="J900" s="1"/>
      <c r="K900" s="1"/>
      <c r="L900" s="1"/>
      <c r="M900" s="1"/>
      <c r="P900" s="3"/>
      <c r="R900" s="1"/>
      <c r="S900" s="1"/>
    </row>
    <row r="901" spans="1:19" x14ac:dyDescent="0.65">
      <c r="A901" s="34">
        <v>900</v>
      </c>
      <c r="B901" s="3" t="s">
        <v>2773</v>
      </c>
      <c r="C901" s="1" t="s">
        <v>2774</v>
      </c>
      <c r="D901" s="1">
        <v>59</v>
      </c>
      <c r="E901" s="2" t="s">
        <v>2775</v>
      </c>
      <c r="F901" s="3">
        <v>1</v>
      </c>
      <c r="G901" s="33">
        <v>32874</v>
      </c>
      <c r="H901" s="30">
        <v>45951.537997685184</v>
      </c>
      <c r="I901" s="1"/>
      <c r="J901" s="1"/>
      <c r="K901" s="1"/>
      <c r="L901" s="1"/>
      <c r="M901" s="1"/>
      <c r="P901" s="3"/>
      <c r="R901" s="1"/>
      <c r="S901" s="1"/>
    </row>
    <row r="902" spans="1:19" x14ac:dyDescent="0.65">
      <c r="A902" s="34">
        <v>901</v>
      </c>
      <c r="B902" s="3" t="s">
        <v>2776</v>
      </c>
      <c r="C902" s="1" t="s">
        <v>2777</v>
      </c>
      <c r="D902" s="1">
        <v>63</v>
      </c>
      <c r="E902" s="2" t="s">
        <v>2778</v>
      </c>
      <c r="F902" s="3">
        <v>1</v>
      </c>
      <c r="G902" s="33">
        <v>32874</v>
      </c>
      <c r="H902" s="30">
        <v>45322</v>
      </c>
      <c r="I902" s="1"/>
      <c r="J902" s="1"/>
      <c r="K902" s="1"/>
      <c r="L902" s="1"/>
      <c r="M902" s="1"/>
      <c r="P902" s="3"/>
      <c r="R902" s="1"/>
      <c r="S902" s="1"/>
    </row>
    <row r="903" spans="1:19" x14ac:dyDescent="0.65">
      <c r="A903" s="34">
        <v>902</v>
      </c>
      <c r="B903" s="3" t="s">
        <v>2781</v>
      </c>
      <c r="C903" s="1" t="s">
        <v>2782</v>
      </c>
      <c r="D903" s="1">
        <v>64</v>
      </c>
      <c r="E903" s="2" t="s">
        <v>2783</v>
      </c>
      <c r="F903" s="3">
        <v>1</v>
      </c>
      <c r="G903" s="33">
        <v>32874</v>
      </c>
      <c r="H903" s="30">
        <v>44155</v>
      </c>
      <c r="I903" s="1"/>
      <c r="J903" s="1"/>
      <c r="K903" s="1"/>
      <c r="L903" s="1"/>
      <c r="M903" s="1"/>
      <c r="P903" s="3"/>
      <c r="R903" s="1"/>
      <c r="S903" s="1"/>
    </row>
    <row r="904" spans="1:19" x14ac:dyDescent="0.65">
      <c r="A904" s="34">
        <v>903</v>
      </c>
      <c r="B904" s="3" t="s">
        <v>2784</v>
      </c>
      <c r="C904" s="1" t="s">
        <v>2785</v>
      </c>
      <c r="D904" s="1">
        <v>64</v>
      </c>
      <c r="E904" s="2" t="s">
        <v>2786</v>
      </c>
      <c r="F904" s="3">
        <v>1</v>
      </c>
      <c r="G904" s="33">
        <v>32874</v>
      </c>
      <c r="H904" s="30">
        <v>44155</v>
      </c>
      <c r="I904" s="1"/>
      <c r="J904" s="1"/>
      <c r="K904" s="1"/>
      <c r="L904" s="1"/>
      <c r="M904" s="1"/>
      <c r="P904" s="3"/>
      <c r="R904" s="1"/>
      <c r="S904" s="1"/>
    </row>
    <row r="905" spans="1:19" x14ac:dyDescent="0.65">
      <c r="A905" s="34">
        <v>904</v>
      </c>
      <c r="B905" s="3" t="s">
        <v>2787</v>
      </c>
      <c r="C905" s="1" t="s">
        <v>2788</v>
      </c>
      <c r="D905" s="1">
        <v>64</v>
      </c>
      <c r="E905" s="2" t="s">
        <v>2789</v>
      </c>
      <c r="F905" s="3">
        <v>1</v>
      </c>
      <c r="G905" s="33">
        <v>32874</v>
      </c>
      <c r="H905" s="30">
        <v>44155</v>
      </c>
      <c r="I905" s="1"/>
      <c r="J905" s="1"/>
      <c r="K905" s="1"/>
      <c r="L905" s="1"/>
      <c r="M905" s="1"/>
      <c r="P905" s="3"/>
      <c r="R905" s="1"/>
      <c r="S905" s="1"/>
    </row>
    <row r="906" spans="1:19" x14ac:dyDescent="0.65">
      <c r="A906" s="34">
        <v>905</v>
      </c>
      <c r="B906" s="3" t="s">
        <v>2790</v>
      </c>
      <c r="C906" s="1" t="s">
        <v>2791</v>
      </c>
      <c r="D906" s="1">
        <v>64</v>
      </c>
      <c r="E906" s="2" t="s">
        <v>2792</v>
      </c>
      <c r="F906" s="3">
        <v>1</v>
      </c>
      <c r="G906" s="33">
        <v>32874</v>
      </c>
      <c r="H906" s="30">
        <v>44155</v>
      </c>
      <c r="I906" s="1"/>
      <c r="J906" s="1"/>
      <c r="K906" s="1"/>
      <c r="L906" s="1"/>
      <c r="M906" s="1"/>
      <c r="P906" s="3"/>
      <c r="R906" s="1"/>
      <c r="S906" s="1"/>
    </row>
    <row r="907" spans="1:19" x14ac:dyDescent="0.65">
      <c r="A907" s="34">
        <v>906</v>
      </c>
      <c r="B907" s="3" t="s">
        <v>2793</v>
      </c>
      <c r="C907" s="1" t="s">
        <v>2794</v>
      </c>
      <c r="D907" s="1">
        <v>64</v>
      </c>
      <c r="E907" s="2" t="s">
        <v>2795</v>
      </c>
      <c r="F907" s="3">
        <v>1</v>
      </c>
      <c r="G907" s="33">
        <v>32874</v>
      </c>
      <c r="H907" s="30">
        <v>44155</v>
      </c>
      <c r="I907" s="1"/>
      <c r="J907" s="1"/>
      <c r="K907" s="1"/>
      <c r="L907" s="1"/>
      <c r="M907" s="1"/>
      <c r="P907" s="3"/>
      <c r="R907" s="1"/>
      <c r="S907" s="1"/>
    </row>
    <row r="908" spans="1:19" x14ac:dyDescent="0.65">
      <c r="A908" s="34">
        <v>907</v>
      </c>
      <c r="B908" s="3" t="s">
        <v>2796</v>
      </c>
      <c r="C908" s="1" t="s">
        <v>2797</v>
      </c>
      <c r="D908" s="1">
        <v>64</v>
      </c>
      <c r="E908" s="2" t="s">
        <v>2798</v>
      </c>
      <c r="F908" s="3">
        <v>1</v>
      </c>
      <c r="G908" s="33">
        <v>32874</v>
      </c>
      <c r="H908" s="30">
        <v>44155</v>
      </c>
      <c r="I908" s="1"/>
      <c r="J908" s="1"/>
      <c r="K908" s="1"/>
      <c r="L908" s="1"/>
      <c r="M908" s="1"/>
      <c r="P908" s="3"/>
      <c r="R908" s="1"/>
      <c r="S908" s="1"/>
    </row>
    <row r="909" spans="1:19" x14ac:dyDescent="0.65">
      <c r="A909" s="34">
        <v>908</v>
      </c>
      <c r="B909" s="3" t="s">
        <v>2799</v>
      </c>
      <c r="C909" s="1" t="s">
        <v>2800</v>
      </c>
      <c r="D909" s="1">
        <v>64</v>
      </c>
      <c r="E909" s="2" t="s">
        <v>2801</v>
      </c>
      <c r="F909" s="3">
        <v>1</v>
      </c>
      <c r="G909" s="33">
        <v>32874</v>
      </c>
      <c r="H909" s="30">
        <v>44155</v>
      </c>
      <c r="I909" s="1"/>
      <c r="J909" s="1"/>
      <c r="K909" s="1"/>
      <c r="L909" s="1"/>
      <c r="M909" s="1"/>
      <c r="P909" s="3"/>
      <c r="R909" s="1"/>
      <c r="S909" s="1"/>
    </row>
    <row r="910" spans="1:19" x14ac:dyDescent="0.65">
      <c r="A910" s="34">
        <v>909</v>
      </c>
      <c r="B910" s="3" t="s">
        <v>2802</v>
      </c>
      <c r="C910" s="1" t="s">
        <v>2803</v>
      </c>
      <c r="D910" s="1">
        <v>64</v>
      </c>
      <c r="E910" s="2" t="s">
        <v>2804</v>
      </c>
      <c r="F910" s="3">
        <v>1</v>
      </c>
      <c r="G910" s="33">
        <v>32874</v>
      </c>
      <c r="H910" s="30">
        <v>44637</v>
      </c>
      <c r="I910" s="1"/>
      <c r="J910" s="1"/>
      <c r="K910" s="1"/>
      <c r="L910" s="1"/>
      <c r="M910" s="1"/>
      <c r="P910" s="3"/>
      <c r="R910" s="1"/>
      <c r="S910" s="1"/>
    </row>
    <row r="911" spans="1:19" x14ac:dyDescent="0.65">
      <c r="A911" s="34">
        <v>910</v>
      </c>
      <c r="B911" s="3" t="s">
        <v>2805</v>
      </c>
      <c r="C911" s="1" t="s">
        <v>2806</v>
      </c>
      <c r="D911" s="1">
        <v>64</v>
      </c>
      <c r="E911" s="2" t="s">
        <v>2807</v>
      </c>
      <c r="F911" s="3">
        <v>1</v>
      </c>
      <c r="G911" s="33">
        <v>32874</v>
      </c>
      <c r="H911" s="30">
        <v>43348</v>
      </c>
      <c r="I911" s="1"/>
      <c r="J911" s="1"/>
      <c r="K911" s="1"/>
      <c r="L911" s="1"/>
      <c r="M911" s="1"/>
      <c r="P911" s="3"/>
      <c r="R911" s="1"/>
      <c r="S911" s="1"/>
    </row>
    <row r="912" spans="1:19" x14ac:dyDescent="0.65">
      <c r="A912" s="34">
        <v>911</v>
      </c>
      <c r="B912" s="3" t="s">
        <v>2808</v>
      </c>
      <c r="C912" s="1" t="s">
        <v>2809</v>
      </c>
      <c r="D912" s="1">
        <v>64</v>
      </c>
      <c r="E912" s="2" t="s">
        <v>2810</v>
      </c>
      <c r="F912" s="3">
        <v>1</v>
      </c>
      <c r="G912" s="33">
        <v>32874</v>
      </c>
      <c r="H912" s="30">
        <v>45897.671180555553</v>
      </c>
      <c r="I912" s="1"/>
      <c r="J912" s="1"/>
      <c r="K912" s="1"/>
      <c r="L912" s="1"/>
      <c r="M912" s="1"/>
      <c r="P912" s="3"/>
      <c r="R912" s="1"/>
      <c r="S912" s="1"/>
    </row>
    <row r="913" spans="1:19" x14ac:dyDescent="0.65">
      <c r="A913" s="34">
        <v>912</v>
      </c>
      <c r="B913" s="3" t="s">
        <v>2811</v>
      </c>
      <c r="C913" s="1" t="s">
        <v>2812</v>
      </c>
      <c r="D913" s="1">
        <v>64</v>
      </c>
      <c r="E913" s="2" t="s">
        <v>2813</v>
      </c>
      <c r="F913" s="3">
        <v>1</v>
      </c>
      <c r="G913" s="33">
        <v>32874</v>
      </c>
      <c r="H913" s="30">
        <v>45013</v>
      </c>
      <c r="I913" s="1"/>
      <c r="J913" s="1"/>
      <c r="K913" s="1"/>
      <c r="L913" s="1"/>
      <c r="M913" s="1"/>
      <c r="P913" s="3"/>
      <c r="R913" s="1"/>
      <c r="S913" s="1"/>
    </row>
    <row r="914" spans="1:19" x14ac:dyDescent="0.65">
      <c r="A914" s="34">
        <v>913</v>
      </c>
      <c r="B914" s="3" t="s">
        <v>2814</v>
      </c>
      <c r="C914" s="1" t="s">
        <v>2815</v>
      </c>
      <c r="D914" s="1">
        <v>64</v>
      </c>
      <c r="E914" s="2" t="s">
        <v>2816</v>
      </c>
      <c r="F914" s="3">
        <v>1</v>
      </c>
      <c r="G914" s="33">
        <v>32874</v>
      </c>
      <c r="H914" s="30">
        <v>41365</v>
      </c>
      <c r="I914" s="1"/>
      <c r="J914" s="1"/>
      <c r="K914" s="1"/>
      <c r="L914" s="1"/>
      <c r="M914" s="1"/>
      <c r="P914" s="3"/>
      <c r="R914" s="1"/>
      <c r="S914" s="1"/>
    </row>
    <row r="915" spans="1:19" x14ac:dyDescent="0.65">
      <c r="A915" s="34">
        <v>914</v>
      </c>
      <c r="B915" s="3" t="s">
        <v>2817</v>
      </c>
      <c r="C915" s="1" t="s">
        <v>2818</v>
      </c>
      <c r="D915" s="1">
        <v>64</v>
      </c>
      <c r="E915" s="2" t="s">
        <v>2819</v>
      </c>
      <c r="F915" s="3">
        <v>1</v>
      </c>
      <c r="G915" s="33">
        <v>32874</v>
      </c>
      <c r="H915" s="30">
        <v>41365</v>
      </c>
      <c r="I915" s="1"/>
      <c r="J915" s="1"/>
      <c r="K915" s="1"/>
      <c r="L915" s="1"/>
      <c r="M915" s="1"/>
      <c r="P915" s="3"/>
      <c r="R915" s="1"/>
      <c r="S915" s="1"/>
    </row>
    <row r="916" spans="1:19" x14ac:dyDescent="0.65">
      <c r="A916" s="34">
        <v>915</v>
      </c>
      <c r="B916" s="3" t="s">
        <v>2820</v>
      </c>
      <c r="C916" s="1" t="s">
        <v>2821</v>
      </c>
      <c r="D916" s="1">
        <v>64</v>
      </c>
      <c r="E916" s="2" t="s">
        <v>2822</v>
      </c>
      <c r="F916" s="3">
        <v>1</v>
      </c>
      <c r="G916" s="33">
        <v>32874</v>
      </c>
      <c r="H916" s="30">
        <v>41950</v>
      </c>
      <c r="I916" s="1"/>
      <c r="J916" s="1"/>
      <c r="K916" s="1"/>
      <c r="L916" s="1"/>
      <c r="M916" s="1"/>
      <c r="P916" s="3"/>
      <c r="R916" s="1"/>
      <c r="S916" s="1"/>
    </row>
    <row r="917" spans="1:19" x14ac:dyDescent="0.65">
      <c r="A917" s="34">
        <v>916</v>
      </c>
      <c r="B917" s="3" t="s">
        <v>2823</v>
      </c>
      <c r="C917" s="1" t="s">
        <v>2824</v>
      </c>
      <c r="D917" s="1">
        <v>64</v>
      </c>
      <c r="E917" s="2" t="s">
        <v>2825</v>
      </c>
      <c r="F917" s="3">
        <v>1</v>
      </c>
      <c r="G917" s="33">
        <v>32874</v>
      </c>
      <c r="H917" s="30">
        <v>45170</v>
      </c>
      <c r="I917" s="1"/>
      <c r="J917" s="1"/>
      <c r="K917" s="1"/>
      <c r="L917" s="1"/>
      <c r="M917" s="1"/>
      <c r="P917" s="3"/>
      <c r="R917" s="1"/>
      <c r="S917" s="1"/>
    </row>
    <row r="918" spans="1:19" x14ac:dyDescent="0.65">
      <c r="A918" s="34">
        <v>917</v>
      </c>
      <c r="B918" s="3" t="s">
        <v>2826</v>
      </c>
      <c r="C918" s="1" t="s">
        <v>2827</v>
      </c>
      <c r="D918" s="1">
        <v>64</v>
      </c>
      <c r="E918" s="2" t="s">
        <v>2828</v>
      </c>
      <c r="F918" s="3">
        <v>1</v>
      </c>
      <c r="G918" s="33">
        <v>32874</v>
      </c>
      <c r="H918" s="30">
        <v>43215</v>
      </c>
      <c r="I918" s="1"/>
      <c r="J918" s="1"/>
      <c r="K918" s="1"/>
      <c r="L918" s="1"/>
      <c r="M918" s="1"/>
      <c r="P918" s="3"/>
      <c r="R918" s="1"/>
      <c r="S918" s="1"/>
    </row>
    <row r="919" spans="1:19" x14ac:dyDescent="0.65">
      <c r="A919" s="34">
        <v>918</v>
      </c>
      <c r="B919" s="3" t="s">
        <v>2829</v>
      </c>
      <c r="C919" s="1" t="s">
        <v>2830</v>
      </c>
      <c r="D919" s="1">
        <v>64</v>
      </c>
      <c r="E919" s="2" t="s">
        <v>2831</v>
      </c>
      <c r="F919" s="3">
        <v>1</v>
      </c>
      <c r="G919" s="33">
        <v>32874</v>
      </c>
      <c r="H919" s="30">
        <v>45737.573333333334</v>
      </c>
      <c r="I919" s="1"/>
      <c r="J919" s="1"/>
      <c r="K919" s="1"/>
      <c r="L919" s="1"/>
      <c r="M919" s="1"/>
      <c r="P919" s="3"/>
      <c r="R919" s="1"/>
      <c r="S919" s="1"/>
    </row>
    <row r="920" spans="1:19" x14ac:dyDescent="0.65">
      <c r="A920" s="34">
        <v>919</v>
      </c>
      <c r="B920" s="3" t="s">
        <v>2832</v>
      </c>
      <c r="C920" s="1" t="s">
        <v>2833</v>
      </c>
      <c r="D920" s="1">
        <v>64</v>
      </c>
      <c r="E920" s="2" t="s">
        <v>2834</v>
      </c>
      <c r="F920" s="3">
        <v>1</v>
      </c>
      <c r="G920" s="33">
        <v>32874</v>
      </c>
      <c r="H920" s="30">
        <v>45034</v>
      </c>
      <c r="I920" s="1"/>
      <c r="J920" s="1"/>
      <c r="K920" s="1"/>
      <c r="L920" s="1"/>
      <c r="M920" s="1"/>
      <c r="P920" s="3"/>
      <c r="R920" s="1"/>
      <c r="S920" s="1"/>
    </row>
    <row r="921" spans="1:19" x14ac:dyDescent="0.65">
      <c r="A921" s="34">
        <v>920</v>
      </c>
      <c r="B921" s="3" t="s">
        <v>2835</v>
      </c>
      <c r="C921" s="1" t="s">
        <v>2836</v>
      </c>
      <c r="D921" s="1">
        <v>64</v>
      </c>
      <c r="E921" s="2" t="s">
        <v>2837</v>
      </c>
      <c r="F921" s="3">
        <v>1</v>
      </c>
      <c r="G921" s="33">
        <v>32874</v>
      </c>
      <c r="H921" s="30">
        <v>43538</v>
      </c>
      <c r="I921" s="1"/>
      <c r="J921" s="1"/>
      <c r="K921" s="1"/>
      <c r="L921" s="1"/>
      <c r="M921" s="1"/>
      <c r="P921" s="3"/>
      <c r="R921" s="1"/>
      <c r="S921" s="1"/>
    </row>
    <row r="922" spans="1:19" x14ac:dyDescent="0.65">
      <c r="A922" s="34">
        <v>921</v>
      </c>
      <c r="B922" s="3" t="s">
        <v>2838</v>
      </c>
      <c r="C922" s="1" t="s">
        <v>2839</v>
      </c>
      <c r="D922" s="1">
        <v>64</v>
      </c>
      <c r="E922" s="2" t="s">
        <v>2840</v>
      </c>
      <c r="F922" s="3">
        <v>1</v>
      </c>
      <c r="G922" s="33">
        <v>32874</v>
      </c>
      <c r="H922" s="30">
        <v>41348</v>
      </c>
      <c r="I922" s="1"/>
      <c r="J922" s="1"/>
      <c r="K922" s="1"/>
      <c r="L922" s="1"/>
      <c r="M922" s="1"/>
      <c r="P922" s="3"/>
      <c r="R922" s="1"/>
      <c r="S922" s="1"/>
    </row>
    <row r="923" spans="1:19" x14ac:dyDescent="0.65">
      <c r="A923" s="34">
        <v>922</v>
      </c>
      <c r="B923" s="3" t="s">
        <v>2841</v>
      </c>
      <c r="C923" s="1" t="s">
        <v>2842</v>
      </c>
      <c r="D923" s="1">
        <v>64</v>
      </c>
      <c r="E923" s="2" t="s">
        <v>2843</v>
      </c>
      <c r="F923" s="3">
        <v>1</v>
      </c>
      <c r="G923" s="33">
        <v>32874</v>
      </c>
      <c r="H923" s="30">
        <v>41348</v>
      </c>
      <c r="I923" s="1"/>
      <c r="J923" s="1"/>
      <c r="K923" s="1"/>
      <c r="L923" s="1"/>
      <c r="M923" s="1"/>
      <c r="P923" s="3"/>
      <c r="R923" s="1"/>
      <c r="S923" s="1"/>
    </row>
    <row r="924" spans="1:19" x14ac:dyDescent="0.65">
      <c r="A924" s="34">
        <v>923</v>
      </c>
      <c r="B924" s="3" t="s">
        <v>2844</v>
      </c>
      <c r="C924" s="1" t="s">
        <v>2845</v>
      </c>
      <c r="D924" s="1">
        <v>64</v>
      </c>
      <c r="E924" s="2" t="s">
        <v>2846</v>
      </c>
      <c r="F924" s="3">
        <v>1</v>
      </c>
      <c r="G924" s="33">
        <v>32874</v>
      </c>
      <c r="H924" s="30">
        <v>41382</v>
      </c>
      <c r="I924" s="1"/>
      <c r="J924" s="1"/>
      <c r="K924" s="1"/>
      <c r="L924" s="1"/>
      <c r="M924" s="1"/>
      <c r="P924" s="3"/>
      <c r="R924" s="1"/>
      <c r="S924" s="1"/>
    </row>
    <row r="925" spans="1:19" x14ac:dyDescent="0.65">
      <c r="A925" s="34">
        <v>924</v>
      </c>
      <c r="B925" s="3" t="s">
        <v>2847</v>
      </c>
      <c r="C925" s="1" t="s">
        <v>2848</v>
      </c>
      <c r="D925" s="1">
        <v>64</v>
      </c>
      <c r="E925" s="2" t="s">
        <v>2849</v>
      </c>
      <c r="F925" s="3">
        <v>1</v>
      </c>
      <c r="G925" s="33">
        <v>32874</v>
      </c>
      <c r="H925" s="30">
        <v>41351</v>
      </c>
      <c r="I925" s="1"/>
      <c r="J925" s="1"/>
      <c r="K925" s="1"/>
      <c r="L925" s="1"/>
      <c r="M925" s="1"/>
      <c r="P925" s="3"/>
      <c r="R925" s="1"/>
      <c r="S925" s="1"/>
    </row>
    <row r="926" spans="1:19" x14ac:dyDescent="0.65">
      <c r="A926" s="34">
        <v>925</v>
      </c>
      <c r="B926" s="3" t="s">
        <v>2850</v>
      </c>
      <c r="C926" s="1" t="s">
        <v>2851</v>
      </c>
      <c r="D926" s="1">
        <v>64</v>
      </c>
      <c r="E926" s="2" t="s">
        <v>2852</v>
      </c>
      <c r="F926" s="3">
        <v>1</v>
      </c>
      <c r="G926" s="33">
        <v>32874</v>
      </c>
      <c r="H926" s="30">
        <v>41351</v>
      </c>
      <c r="I926" s="1"/>
      <c r="J926" s="1"/>
      <c r="K926" s="1"/>
      <c r="L926" s="1"/>
      <c r="M926" s="1"/>
      <c r="P926" s="3"/>
      <c r="R926" s="1"/>
      <c r="S926" s="1"/>
    </row>
    <row r="927" spans="1:19" x14ac:dyDescent="0.65">
      <c r="A927" s="34">
        <v>926</v>
      </c>
      <c r="B927" s="3" t="s">
        <v>2853</v>
      </c>
      <c r="C927" s="1" t="s">
        <v>2854</v>
      </c>
      <c r="D927" s="1">
        <v>64</v>
      </c>
      <c r="E927" s="2" t="s">
        <v>2855</v>
      </c>
      <c r="F927" s="3">
        <v>1</v>
      </c>
      <c r="G927" s="33">
        <v>32874</v>
      </c>
      <c r="H927" s="30">
        <v>41365</v>
      </c>
      <c r="I927" s="1"/>
      <c r="J927" s="1"/>
      <c r="K927" s="1"/>
      <c r="L927" s="1"/>
      <c r="M927" s="1"/>
      <c r="P927" s="3"/>
      <c r="R927" s="1"/>
      <c r="S927" s="1"/>
    </row>
    <row r="928" spans="1:19" x14ac:dyDescent="0.65">
      <c r="A928" s="34">
        <v>927</v>
      </c>
      <c r="B928" s="3" t="s">
        <v>2856</v>
      </c>
      <c r="C928" s="1" t="s">
        <v>2857</v>
      </c>
      <c r="D928" s="1">
        <v>64</v>
      </c>
      <c r="E928" s="2" t="s">
        <v>2858</v>
      </c>
      <c r="F928" s="3">
        <v>1</v>
      </c>
      <c r="G928" s="33">
        <v>32874</v>
      </c>
      <c r="H928" s="30">
        <v>41365</v>
      </c>
      <c r="I928" s="1"/>
      <c r="J928" s="1"/>
      <c r="K928" s="1"/>
      <c r="L928" s="1"/>
      <c r="M928" s="1"/>
      <c r="P928" s="3"/>
      <c r="R928" s="1"/>
      <c r="S928" s="1"/>
    </row>
    <row r="929" spans="1:19" x14ac:dyDescent="0.65">
      <c r="A929" s="34">
        <v>928</v>
      </c>
      <c r="B929" s="3" t="s">
        <v>2859</v>
      </c>
      <c r="C929" s="1" t="s">
        <v>2860</v>
      </c>
      <c r="D929" s="1">
        <v>64</v>
      </c>
      <c r="E929" s="2" t="s">
        <v>2861</v>
      </c>
      <c r="F929" s="3">
        <v>1</v>
      </c>
      <c r="G929" s="33">
        <v>32874</v>
      </c>
      <c r="H929" s="30">
        <v>41365</v>
      </c>
      <c r="I929" s="1"/>
      <c r="J929" s="1"/>
      <c r="K929" s="1"/>
      <c r="L929" s="1"/>
      <c r="M929" s="1"/>
      <c r="P929" s="3"/>
      <c r="R929" s="1"/>
      <c r="S929" s="1"/>
    </row>
    <row r="930" spans="1:19" x14ac:dyDescent="0.65">
      <c r="A930" s="34">
        <v>929</v>
      </c>
      <c r="B930" s="3" t="s">
        <v>2862</v>
      </c>
      <c r="C930" s="1" t="s">
        <v>2863</v>
      </c>
      <c r="D930" s="1">
        <v>64</v>
      </c>
      <c r="E930" s="2" t="s">
        <v>2864</v>
      </c>
      <c r="F930" s="3">
        <v>1</v>
      </c>
      <c r="G930" s="33">
        <v>32874</v>
      </c>
      <c r="H930" s="30">
        <v>45590</v>
      </c>
      <c r="I930" s="1"/>
      <c r="J930" s="1"/>
      <c r="K930" s="1"/>
      <c r="L930" s="1"/>
      <c r="M930" s="1"/>
      <c r="P930" s="3"/>
      <c r="R930" s="1"/>
      <c r="S930" s="1"/>
    </row>
    <row r="931" spans="1:19" x14ac:dyDescent="0.65">
      <c r="A931" s="34">
        <v>930</v>
      </c>
      <c r="B931" s="3" t="s">
        <v>2865</v>
      </c>
      <c r="C931" s="1" t="s">
        <v>2866</v>
      </c>
      <c r="D931" s="1">
        <v>64</v>
      </c>
      <c r="E931" s="2" t="s">
        <v>2867</v>
      </c>
      <c r="F931" s="3">
        <v>1</v>
      </c>
      <c r="G931" s="33">
        <v>32874</v>
      </c>
      <c r="H931" s="30">
        <v>41352</v>
      </c>
      <c r="I931" s="1"/>
      <c r="J931" s="1"/>
      <c r="K931" s="1"/>
      <c r="L931" s="1"/>
      <c r="M931" s="1"/>
      <c r="P931" s="3"/>
      <c r="R931" s="1"/>
      <c r="S931" s="1"/>
    </row>
    <row r="932" spans="1:19" x14ac:dyDescent="0.65">
      <c r="A932" s="34">
        <v>931</v>
      </c>
      <c r="B932" s="3" t="s">
        <v>2868</v>
      </c>
      <c r="C932" s="1" t="s">
        <v>2869</v>
      </c>
      <c r="D932" s="1">
        <v>64</v>
      </c>
      <c r="E932" s="2" t="s">
        <v>2870</v>
      </c>
      <c r="F932" s="3">
        <v>1</v>
      </c>
      <c r="G932" s="33">
        <v>32874</v>
      </c>
      <c r="H932" s="30">
        <v>45047</v>
      </c>
      <c r="I932" s="1"/>
      <c r="J932" s="1"/>
      <c r="K932" s="1"/>
      <c r="L932" s="1"/>
      <c r="M932" s="1"/>
      <c r="P932" s="3"/>
      <c r="R932" s="1"/>
      <c r="S932" s="1"/>
    </row>
    <row r="933" spans="1:19" x14ac:dyDescent="0.65">
      <c r="A933" s="34">
        <v>932</v>
      </c>
      <c r="B933" s="3" t="s">
        <v>2871</v>
      </c>
      <c r="C933" s="1" t="s">
        <v>2872</v>
      </c>
      <c r="D933" s="1">
        <v>64</v>
      </c>
      <c r="E933" s="2" t="s">
        <v>2873</v>
      </c>
      <c r="F933" s="3">
        <v>1</v>
      </c>
      <c r="G933" s="33">
        <v>32874</v>
      </c>
      <c r="H933" s="30">
        <v>45047</v>
      </c>
      <c r="I933" s="1"/>
      <c r="J933" s="1"/>
      <c r="K933" s="1"/>
      <c r="L933" s="1"/>
      <c r="M933" s="1"/>
      <c r="P933" s="3"/>
      <c r="R933" s="1"/>
      <c r="S933" s="1"/>
    </row>
    <row r="934" spans="1:19" x14ac:dyDescent="0.65">
      <c r="A934" s="34">
        <v>933</v>
      </c>
      <c r="B934" s="3" t="s">
        <v>2874</v>
      </c>
      <c r="C934" s="1" t="s">
        <v>2875</v>
      </c>
      <c r="D934" s="1">
        <v>64</v>
      </c>
      <c r="E934" s="2" t="s">
        <v>2876</v>
      </c>
      <c r="F934" s="3">
        <v>1</v>
      </c>
      <c r="G934" s="33">
        <v>32874</v>
      </c>
      <c r="H934" s="30">
        <v>45047</v>
      </c>
      <c r="I934" s="1"/>
      <c r="J934" s="1"/>
      <c r="K934" s="1"/>
      <c r="L934" s="1"/>
      <c r="M934" s="1"/>
      <c r="P934" s="3"/>
      <c r="R934" s="1"/>
      <c r="S934" s="1"/>
    </row>
    <row r="935" spans="1:19" x14ac:dyDescent="0.65">
      <c r="A935" s="34">
        <v>934</v>
      </c>
      <c r="B935" s="3" t="s">
        <v>2877</v>
      </c>
      <c r="C935" s="1" t="s">
        <v>2878</v>
      </c>
      <c r="D935" s="1">
        <v>64</v>
      </c>
      <c r="E935" s="2" t="s">
        <v>2879</v>
      </c>
      <c r="F935" s="3">
        <v>1</v>
      </c>
      <c r="G935" s="33">
        <v>32874</v>
      </c>
      <c r="H935" s="30">
        <v>41352</v>
      </c>
      <c r="I935" s="1"/>
      <c r="J935" s="1"/>
      <c r="K935" s="1"/>
      <c r="L935" s="1"/>
      <c r="M935" s="1"/>
      <c r="P935" s="3"/>
      <c r="R935" s="1"/>
      <c r="S935" s="1"/>
    </row>
    <row r="936" spans="1:19" x14ac:dyDescent="0.65">
      <c r="A936" s="34">
        <v>935</v>
      </c>
      <c r="B936" s="3" t="s">
        <v>2880</v>
      </c>
      <c r="C936" s="1" t="s">
        <v>2881</v>
      </c>
      <c r="D936" s="1">
        <v>65</v>
      </c>
      <c r="E936" s="2" t="s">
        <v>2882</v>
      </c>
      <c r="F936" s="3">
        <v>1</v>
      </c>
      <c r="G936" s="33">
        <v>32874</v>
      </c>
      <c r="H936" s="30">
        <v>41361</v>
      </c>
      <c r="I936" s="1"/>
      <c r="J936" s="1"/>
      <c r="K936" s="1"/>
      <c r="L936" s="1"/>
      <c r="M936" s="1"/>
      <c r="P936" s="3"/>
    </row>
    <row r="937" spans="1:19" x14ac:dyDescent="0.65">
      <c r="A937" s="34">
        <v>936</v>
      </c>
      <c r="B937" s="3" t="s">
        <v>2884</v>
      </c>
      <c r="C937" s="1" t="s">
        <v>2885</v>
      </c>
      <c r="D937" s="1">
        <v>65</v>
      </c>
      <c r="E937" s="2" t="s">
        <v>2886</v>
      </c>
      <c r="F937" s="3">
        <v>1</v>
      </c>
      <c r="G937" s="33">
        <v>32874</v>
      </c>
      <c r="H937" s="30">
        <v>45905.43173611111</v>
      </c>
      <c r="I937" s="1"/>
      <c r="J937" s="1"/>
      <c r="K937" s="1"/>
      <c r="L937" s="1"/>
      <c r="M937" s="1"/>
      <c r="P937" s="3"/>
    </row>
    <row r="938" spans="1:19" x14ac:dyDescent="0.65">
      <c r="A938" s="34">
        <v>937</v>
      </c>
      <c r="B938" s="3" t="s">
        <v>2887</v>
      </c>
      <c r="C938" s="1" t="s">
        <v>2888</v>
      </c>
      <c r="D938" s="1">
        <v>64</v>
      </c>
      <c r="E938" s="2" t="s">
        <v>2889</v>
      </c>
      <c r="F938" s="3">
        <v>1</v>
      </c>
      <c r="G938" s="33">
        <v>32874</v>
      </c>
      <c r="H938" s="30">
        <v>41365</v>
      </c>
      <c r="I938" s="1"/>
      <c r="J938" s="1"/>
      <c r="K938" s="1"/>
      <c r="L938" s="1"/>
      <c r="M938" s="1"/>
      <c r="P938" s="3"/>
      <c r="R938" s="1"/>
      <c r="S938" s="1"/>
    </row>
    <row r="939" spans="1:19" x14ac:dyDescent="0.65">
      <c r="A939" s="34">
        <v>938</v>
      </c>
      <c r="B939" s="3" t="s">
        <v>2890</v>
      </c>
      <c r="C939" s="1" t="s">
        <v>2891</v>
      </c>
      <c r="D939" s="1">
        <v>65</v>
      </c>
      <c r="E939" s="2" t="s">
        <v>2892</v>
      </c>
      <c r="F939" s="3">
        <v>1</v>
      </c>
      <c r="G939" s="33">
        <v>32874</v>
      </c>
      <c r="H939" s="30">
        <v>45889.495173611111</v>
      </c>
      <c r="I939" s="1"/>
      <c r="J939" s="1"/>
      <c r="K939" s="1"/>
      <c r="L939" s="1"/>
      <c r="M939" s="1"/>
      <c r="P939" s="3"/>
    </row>
    <row r="940" spans="1:19" x14ac:dyDescent="0.65">
      <c r="A940" s="34">
        <v>939</v>
      </c>
      <c r="B940" s="3" t="s">
        <v>2893</v>
      </c>
      <c r="C940" s="1" t="s">
        <v>2894</v>
      </c>
      <c r="D940" s="1">
        <v>65</v>
      </c>
      <c r="E940" s="2" t="s">
        <v>2895</v>
      </c>
      <c r="F940" s="3">
        <v>1</v>
      </c>
      <c r="G940" s="33">
        <v>32874</v>
      </c>
      <c r="H940" s="30">
        <v>41361</v>
      </c>
      <c r="I940" s="1"/>
      <c r="J940" s="1"/>
      <c r="K940" s="1"/>
      <c r="L940" s="1"/>
      <c r="M940" s="1"/>
      <c r="P940" s="3"/>
    </row>
    <row r="941" spans="1:19" x14ac:dyDescent="0.65">
      <c r="A941" s="34">
        <v>940</v>
      </c>
      <c r="B941" s="3" t="s">
        <v>2896</v>
      </c>
      <c r="C941" s="1" t="s">
        <v>2897</v>
      </c>
      <c r="D941" s="1">
        <v>65</v>
      </c>
      <c r="E941" s="2" t="s">
        <v>2898</v>
      </c>
      <c r="F941" s="3">
        <v>1</v>
      </c>
      <c r="G941" s="33">
        <v>32874</v>
      </c>
      <c r="H941" s="30">
        <v>44600</v>
      </c>
      <c r="I941" s="1"/>
      <c r="J941" s="1"/>
      <c r="K941" s="1"/>
      <c r="L941" s="1"/>
      <c r="M941" s="1"/>
      <c r="P941" s="3"/>
    </row>
    <row r="942" spans="1:19" x14ac:dyDescent="0.65">
      <c r="A942" s="34">
        <v>941</v>
      </c>
      <c r="B942" s="3" t="s">
        <v>2899</v>
      </c>
      <c r="C942" s="1" t="s">
        <v>2900</v>
      </c>
      <c r="D942" s="1">
        <v>65</v>
      </c>
      <c r="E942" s="2" t="s">
        <v>2901</v>
      </c>
      <c r="F942" s="3">
        <v>1</v>
      </c>
      <c r="G942" s="33">
        <v>32874</v>
      </c>
      <c r="H942" s="30">
        <v>43820</v>
      </c>
      <c r="I942" s="1"/>
      <c r="J942" s="1"/>
      <c r="K942" s="1"/>
      <c r="L942" s="1"/>
      <c r="M942" s="1"/>
      <c r="P942" s="3"/>
    </row>
    <row r="943" spans="1:19" x14ac:dyDescent="0.65">
      <c r="A943" s="34">
        <v>942</v>
      </c>
      <c r="B943" s="3" t="s">
        <v>2902</v>
      </c>
      <c r="C943" s="1" t="s">
        <v>2903</v>
      </c>
      <c r="D943" s="1">
        <v>64</v>
      </c>
      <c r="E943" s="2" t="s">
        <v>2904</v>
      </c>
      <c r="F943" s="3">
        <v>1</v>
      </c>
      <c r="G943" s="33">
        <v>32874</v>
      </c>
      <c r="H943" s="30">
        <v>44410</v>
      </c>
      <c r="I943" s="1"/>
      <c r="J943" s="1"/>
      <c r="K943" s="1"/>
      <c r="L943" s="1"/>
      <c r="M943" s="1"/>
      <c r="P943" s="3"/>
      <c r="R943" s="1"/>
      <c r="S943" s="1"/>
    </row>
    <row r="944" spans="1:19" x14ac:dyDescent="0.65">
      <c r="A944" s="34">
        <v>943</v>
      </c>
      <c r="B944" s="3" t="s">
        <v>2905</v>
      </c>
      <c r="C944" s="1" t="s">
        <v>2906</v>
      </c>
      <c r="D944" s="1">
        <v>64</v>
      </c>
      <c r="E944" s="2" t="s">
        <v>2907</v>
      </c>
      <c r="F944" s="3">
        <v>1</v>
      </c>
      <c r="G944" s="33">
        <v>32874</v>
      </c>
      <c r="H944" s="30">
        <v>41415</v>
      </c>
      <c r="I944" s="1"/>
      <c r="J944" s="1"/>
      <c r="K944" s="1"/>
      <c r="L944" s="1"/>
      <c r="M944" s="1"/>
      <c r="P944" s="3"/>
      <c r="R944" s="1"/>
      <c r="S944" s="1"/>
    </row>
    <row r="945" spans="1:19" x14ac:dyDescent="0.65">
      <c r="A945" s="34">
        <v>944</v>
      </c>
      <c r="B945" s="3" t="s">
        <v>2908</v>
      </c>
      <c r="C945" s="1" t="s">
        <v>2909</v>
      </c>
      <c r="D945" s="1">
        <v>64</v>
      </c>
      <c r="E945" s="2" t="s">
        <v>2910</v>
      </c>
      <c r="F945" s="3">
        <v>1</v>
      </c>
      <c r="G945" s="33">
        <v>32874</v>
      </c>
      <c r="H945" s="30">
        <v>41570</v>
      </c>
      <c r="I945" s="1"/>
      <c r="J945" s="1"/>
      <c r="K945" s="1"/>
      <c r="L945" s="1"/>
      <c r="M945" s="1"/>
      <c r="P945" s="3"/>
      <c r="R945" s="1"/>
      <c r="S945" s="1"/>
    </row>
    <row r="946" spans="1:19" x14ac:dyDescent="0.65">
      <c r="A946" s="34">
        <v>945</v>
      </c>
      <c r="B946" s="3" t="s">
        <v>2911</v>
      </c>
      <c r="C946" s="1" t="s">
        <v>2912</v>
      </c>
      <c r="D946" s="1">
        <v>64</v>
      </c>
      <c r="E946" s="2" t="s">
        <v>2913</v>
      </c>
      <c r="F946" s="3">
        <v>1</v>
      </c>
      <c r="G946" s="33">
        <v>32874</v>
      </c>
      <c r="H946" s="30">
        <v>45068</v>
      </c>
      <c r="I946" s="1"/>
      <c r="J946" s="1"/>
      <c r="K946" s="1"/>
      <c r="L946" s="1"/>
      <c r="M946" s="1"/>
      <c r="P946" s="3"/>
      <c r="R946" s="1"/>
      <c r="S946" s="1"/>
    </row>
    <row r="947" spans="1:19" x14ac:dyDescent="0.65">
      <c r="A947" s="34">
        <v>946</v>
      </c>
      <c r="B947" s="3" t="s">
        <v>2914</v>
      </c>
      <c r="C947" s="1" t="s">
        <v>2915</v>
      </c>
      <c r="D947" s="1">
        <v>64</v>
      </c>
      <c r="E947" s="2" t="s">
        <v>2916</v>
      </c>
      <c r="F947" s="3">
        <v>1</v>
      </c>
      <c r="G947" s="33">
        <v>32874</v>
      </c>
      <c r="H947" s="30">
        <v>43396</v>
      </c>
      <c r="I947" s="1"/>
      <c r="J947" s="1"/>
      <c r="K947" s="1"/>
      <c r="L947" s="1"/>
      <c r="M947" s="1"/>
      <c r="P947" s="3"/>
      <c r="R947" s="1"/>
      <c r="S947" s="1"/>
    </row>
    <row r="948" spans="1:19" x14ac:dyDescent="0.65">
      <c r="A948" s="34">
        <v>947</v>
      </c>
      <c r="B948" s="3" t="s">
        <v>2917</v>
      </c>
      <c r="C948" s="1" t="s">
        <v>2918</v>
      </c>
      <c r="D948" s="1">
        <v>64</v>
      </c>
      <c r="E948" s="2" t="s">
        <v>2919</v>
      </c>
      <c r="F948" s="3">
        <v>1</v>
      </c>
      <c r="G948" s="33">
        <v>32874</v>
      </c>
      <c r="H948" s="30">
        <v>45009</v>
      </c>
      <c r="I948" s="1"/>
      <c r="J948" s="1"/>
      <c r="K948" s="1"/>
      <c r="L948" s="1"/>
      <c r="M948" s="1"/>
      <c r="P948" s="3"/>
      <c r="R948" s="1"/>
      <c r="S948" s="1"/>
    </row>
    <row r="949" spans="1:19" x14ac:dyDescent="0.65">
      <c r="A949" s="34">
        <v>948</v>
      </c>
      <c r="B949" s="3" t="s">
        <v>2920</v>
      </c>
      <c r="C949" s="1" t="s">
        <v>2921</v>
      </c>
      <c r="D949" s="1">
        <v>64</v>
      </c>
      <c r="E949" s="2" t="s">
        <v>2922</v>
      </c>
      <c r="F949" s="3">
        <v>1</v>
      </c>
      <c r="G949" s="33">
        <v>32874</v>
      </c>
      <c r="H949" s="30">
        <v>41834</v>
      </c>
      <c r="I949" s="1"/>
      <c r="J949" s="1"/>
      <c r="K949" s="1"/>
      <c r="L949" s="1"/>
      <c r="M949" s="1"/>
      <c r="P949" s="3"/>
      <c r="R949" s="1"/>
      <c r="S949" s="1"/>
    </row>
    <row r="950" spans="1:19" x14ac:dyDescent="0.65">
      <c r="A950" s="34">
        <v>949</v>
      </c>
      <c r="B950" s="3" t="s">
        <v>2923</v>
      </c>
      <c r="C950" s="1" t="s">
        <v>2924</v>
      </c>
      <c r="D950" s="1">
        <v>64</v>
      </c>
      <c r="E950" s="2" t="s">
        <v>2925</v>
      </c>
      <c r="F950" s="3">
        <v>1</v>
      </c>
      <c r="G950" s="33">
        <v>32874</v>
      </c>
      <c r="H950" s="30">
        <v>45513</v>
      </c>
      <c r="I950" s="1"/>
      <c r="J950" s="1"/>
      <c r="K950" s="1"/>
      <c r="L950" s="1"/>
      <c r="M950" s="1"/>
      <c r="P950" s="3"/>
      <c r="R950" s="1"/>
      <c r="S950" s="1"/>
    </row>
    <row r="951" spans="1:19" x14ac:dyDescent="0.65">
      <c r="A951" s="34">
        <v>950</v>
      </c>
      <c r="B951" s="3" t="s">
        <v>2926</v>
      </c>
      <c r="C951" s="1" t="s">
        <v>2927</v>
      </c>
      <c r="D951" s="1">
        <v>64</v>
      </c>
      <c r="E951" s="2" t="s">
        <v>2928</v>
      </c>
      <c r="F951" s="3">
        <v>1</v>
      </c>
      <c r="G951" s="33">
        <v>32874</v>
      </c>
      <c r="H951" s="30">
        <v>41873</v>
      </c>
      <c r="I951" s="1"/>
      <c r="J951" s="1"/>
      <c r="K951" s="1"/>
      <c r="L951" s="1"/>
      <c r="M951" s="1"/>
      <c r="P951" s="3"/>
      <c r="R951" s="1"/>
      <c r="S951" s="1"/>
    </row>
    <row r="952" spans="1:19" x14ac:dyDescent="0.65">
      <c r="A952" s="34">
        <v>951</v>
      </c>
      <c r="B952" s="3" t="s">
        <v>2929</v>
      </c>
      <c r="C952" s="1" t="s">
        <v>2930</v>
      </c>
      <c r="D952" s="1">
        <v>64</v>
      </c>
      <c r="E952" s="2" t="s">
        <v>2931</v>
      </c>
      <c r="F952" s="3">
        <v>1</v>
      </c>
      <c r="G952" s="33">
        <v>32874</v>
      </c>
      <c r="H952" s="30">
        <v>43125</v>
      </c>
      <c r="I952" s="1"/>
      <c r="J952" s="1"/>
      <c r="K952" s="1"/>
      <c r="L952" s="1"/>
      <c r="M952" s="1"/>
      <c r="P952" s="3"/>
      <c r="R952" s="1"/>
      <c r="S952" s="1"/>
    </row>
    <row r="953" spans="1:19" x14ac:dyDescent="0.65">
      <c r="A953" s="34">
        <v>952</v>
      </c>
      <c r="B953" s="3" t="s">
        <v>2932</v>
      </c>
      <c r="C953" s="1" t="s">
        <v>2933</v>
      </c>
      <c r="D953" s="1">
        <v>64</v>
      </c>
      <c r="E953" s="2" t="s">
        <v>2934</v>
      </c>
      <c r="F953" s="3">
        <v>1</v>
      </c>
      <c r="G953" s="33">
        <v>32874</v>
      </c>
      <c r="H953" s="30">
        <v>45440</v>
      </c>
      <c r="I953" s="1"/>
      <c r="J953" s="1"/>
      <c r="K953" s="1"/>
      <c r="L953" s="1"/>
      <c r="M953" s="1"/>
      <c r="P953" s="3"/>
      <c r="R953" s="1"/>
      <c r="S953" s="1"/>
    </row>
    <row r="954" spans="1:19" x14ac:dyDescent="0.65">
      <c r="A954" s="34">
        <v>953</v>
      </c>
      <c r="B954" s="3" t="s">
        <v>2935</v>
      </c>
      <c r="C954" s="1" t="s">
        <v>2936</v>
      </c>
      <c r="D954" s="1">
        <v>64</v>
      </c>
      <c r="E954" s="2" t="s">
        <v>2937</v>
      </c>
      <c r="F954" s="3">
        <v>1</v>
      </c>
      <c r="G954" s="33">
        <v>32874</v>
      </c>
      <c r="H954" s="30">
        <v>45063</v>
      </c>
      <c r="I954" s="1"/>
      <c r="J954" s="1"/>
      <c r="K954" s="1"/>
      <c r="L954" s="1"/>
      <c r="M954" s="1"/>
      <c r="P954" s="3"/>
      <c r="R954" s="1"/>
      <c r="S954" s="1"/>
    </row>
    <row r="955" spans="1:19" x14ac:dyDescent="0.65">
      <c r="A955" s="34">
        <v>954</v>
      </c>
      <c r="B955" s="3" t="s">
        <v>2938</v>
      </c>
      <c r="C955" s="1" t="s">
        <v>2939</v>
      </c>
      <c r="D955" s="1">
        <v>64</v>
      </c>
      <c r="E955" s="2" t="s">
        <v>2940</v>
      </c>
      <c r="F955" s="3">
        <v>1</v>
      </c>
      <c r="G955" s="33">
        <v>32874</v>
      </c>
      <c r="H955" s="30">
        <v>44985</v>
      </c>
      <c r="I955" s="1"/>
      <c r="J955" s="1"/>
      <c r="K955" s="1"/>
      <c r="L955" s="1"/>
      <c r="M955" s="1"/>
      <c r="P955" s="3"/>
      <c r="R955" s="1"/>
      <c r="S955" s="1"/>
    </row>
    <row r="956" spans="1:19" x14ac:dyDescent="0.65">
      <c r="A956" s="34">
        <v>955</v>
      </c>
      <c r="B956" s="3" t="s">
        <v>2941</v>
      </c>
      <c r="C956" s="1" t="s">
        <v>2942</v>
      </c>
      <c r="D956" s="1">
        <v>64</v>
      </c>
      <c r="E956" s="2" t="s">
        <v>2943</v>
      </c>
      <c r="F956" s="3">
        <v>1</v>
      </c>
      <c r="G956" s="33">
        <v>32874</v>
      </c>
      <c r="H956" s="30">
        <v>42307</v>
      </c>
      <c r="I956" s="1"/>
      <c r="J956" s="1"/>
      <c r="K956" s="1"/>
      <c r="L956" s="1"/>
      <c r="M956" s="1"/>
      <c r="P956" s="3"/>
      <c r="R956" s="1"/>
      <c r="S956" s="1"/>
    </row>
    <row r="957" spans="1:19" x14ac:dyDescent="0.65">
      <c r="A957" s="34">
        <v>956</v>
      </c>
      <c r="B957" s="3" t="s">
        <v>2944</v>
      </c>
      <c r="C957" s="1" t="s">
        <v>2945</v>
      </c>
      <c r="D957" s="1">
        <v>64</v>
      </c>
      <c r="E957" s="2" t="s">
        <v>2946</v>
      </c>
      <c r="F957" s="3">
        <v>1</v>
      </c>
      <c r="G957" s="33">
        <v>32874</v>
      </c>
      <c r="H957" s="30">
        <v>44725</v>
      </c>
      <c r="I957" s="1"/>
      <c r="J957" s="1"/>
      <c r="K957" s="1"/>
      <c r="L957" s="1"/>
      <c r="M957" s="1"/>
      <c r="P957" s="3"/>
      <c r="R957" s="1"/>
      <c r="S957" s="1"/>
    </row>
    <row r="958" spans="1:19" x14ac:dyDescent="0.65">
      <c r="A958" s="34">
        <v>957</v>
      </c>
      <c r="B958" s="3" t="s">
        <v>2947</v>
      </c>
      <c r="C958" s="1" t="s">
        <v>2948</v>
      </c>
      <c r="D958" s="1">
        <v>66</v>
      </c>
      <c r="E958" s="2" t="s">
        <v>2949</v>
      </c>
      <c r="F958" s="3">
        <v>1</v>
      </c>
      <c r="G958" s="33">
        <v>32874</v>
      </c>
      <c r="H958" s="30">
        <v>42363</v>
      </c>
      <c r="I958" s="1"/>
      <c r="J958" s="1"/>
      <c r="K958" s="1"/>
      <c r="L958" s="1"/>
      <c r="M958" s="1"/>
      <c r="P958" s="3"/>
      <c r="R958" s="1"/>
      <c r="S958" s="1"/>
    </row>
    <row r="959" spans="1:19" x14ac:dyDescent="0.65">
      <c r="A959" s="34">
        <v>958</v>
      </c>
      <c r="B959" s="3" t="s">
        <v>2950</v>
      </c>
      <c r="C959" s="1" t="s">
        <v>2951</v>
      </c>
      <c r="D959" s="1">
        <v>64</v>
      </c>
      <c r="E959" s="2" t="s">
        <v>2952</v>
      </c>
      <c r="F959" s="3">
        <v>1</v>
      </c>
      <c r="G959" s="33">
        <v>32874</v>
      </c>
      <c r="H959" s="30">
        <v>45688.401932870373</v>
      </c>
      <c r="I959" s="1"/>
      <c r="J959" s="1"/>
      <c r="K959" s="1"/>
      <c r="L959" s="1"/>
      <c r="M959" s="1"/>
      <c r="P959" s="3"/>
      <c r="R959" s="1"/>
      <c r="S959" s="1"/>
    </row>
    <row r="960" spans="1:19" x14ac:dyDescent="0.65">
      <c r="A960" s="34">
        <v>959</v>
      </c>
      <c r="B960" s="3" t="s">
        <v>2953</v>
      </c>
      <c r="C960" s="1" t="s">
        <v>2954</v>
      </c>
      <c r="D960" s="1">
        <v>64</v>
      </c>
      <c r="E960" s="2" t="s">
        <v>2955</v>
      </c>
      <c r="F960" s="3">
        <v>1</v>
      </c>
      <c r="G960" s="33">
        <v>32874</v>
      </c>
      <c r="H960" s="30">
        <v>43272</v>
      </c>
      <c r="I960" s="1"/>
      <c r="J960" s="1"/>
      <c r="K960" s="1"/>
      <c r="L960" s="1"/>
      <c r="M960" s="1"/>
      <c r="P960" s="3"/>
      <c r="R960" s="1"/>
      <c r="S960" s="1"/>
    </row>
    <row r="961" spans="1:19" x14ac:dyDescent="0.65">
      <c r="A961" s="34">
        <v>960</v>
      </c>
      <c r="B961" s="3" t="s">
        <v>2956</v>
      </c>
      <c r="C961" s="1" t="s">
        <v>2957</v>
      </c>
      <c r="D961" s="1">
        <v>64</v>
      </c>
      <c r="E961" s="2" t="s">
        <v>2958</v>
      </c>
      <c r="F961" s="3">
        <v>1</v>
      </c>
      <c r="G961" s="33">
        <v>32874</v>
      </c>
      <c r="H961" s="30">
        <v>45905.372013888889</v>
      </c>
      <c r="I961" s="1"/>
      <c r="J961" s="1"/>
      <c r="K961" s="1"/>
      <c r="L961" s="1"/>
      <c r="M961" s="1"/>
      <c r="P961" s="3"/>
      <c r="R961" s="1"/>
      <c r="S961" s="1"/>
    </row>
    <row r="962" spans="1:19" x14ac:dyDescent="0.65">
      <c r="A962" s="34">
        <v>961</v>
      </c>
      <c r="B962" s="3" t="s">
        <v>2959</v>
      </c>
      <c r="C962" s="1" t="s">
        <v>2960</v>
      </c>
      <c r="D962" s="1">
        <v>65</v>
      </c>
      <c r="E962" s="2" t="s">
        <v>2961</v>
      </c>
      <c r="F962" s="3">
        <v>1</v>
      </c>
      <c r="G962" s="33">
        <v>32874</v>
      </c>
      <c r="H962" s="30">
        <v>45936.344652777778</v>
      </c>
      <c r="I962" s="1"/>
      <c r="J962" s="1"/>
      <c r="K962" s="1"/>
      <c r="L962" s="1"/>
      <c r="M962" s="1"/>
      <c r="P962" s="3"/>
    </row>
    <row r="963" spans="1:19" x14ac:dyDescent="0.65">
      <c r="A963" s="34">
        <v>962</v>
      </c>
      <c r="B963" s="3" t="s">
        <v>2962</v>
      </c>
      <c r="C963" s="1" t="s">
        <v>2963</v>
      </c>
      <c r="D963" s="1">
        <v>67</v>
      </c>
      <c r="E963" s="2" t="s">
        <v>2964</v>
      </c>
      <c r="F963" s="3">
        <v>1</v>
      </c>
      <c r="G963" s="33">
        <v>32874</v>
      </c>
      <c r="H963" s="30">
        <v>45316</v>
      </c>
      <c r="I963" s="1"/>
      <c r="J963" s="1"/>
      <c r="K963" s="1"/>
      <c r="L963" s="1"/>
      <c r="M963" s="1"/>
      <c r="P963" s="3"/>
      <c r="R963" s="1"/>
      <c r="S963" s="1"/>
    </row>
    <row r="964" spans="1:19" x14ac:dyDescent="0.65">
      <c r="A964" s="34">
        <v>963</v>
      </c>
      <c r="B964" s="3" t="s">
        <v>2965</v>
      </c>
      <c r="C964" s="1" t="s">
        <v>2966</v>
      </c>
      <c r="D964" s="1">
        <v>64</v>
      </c>
      <c r="E964" s="2" t="s">
        <v>2967</v>
      </c>
      <c r="F964" s="3">
        <v>1</v>
      </c>
      <c r="G964" s="33">
        <v>32874</v>
      </c>
      <c r="H964" s="30">
        <v>45805.658587962964</v>
      </c>
      <c r="I964" s="1"/>
      <c r="J964" s="1"/>
      <c r="K964" s="1"/>
      <c r="L964" s="1"/>
      <c r="M964" s="1"/>
      <c r="P964" s="3"/>
      <c r="R964" s="1"/>
      <c r="S964" s="1"/>
    </row>
    <row r="965" spans="1:19" x14ac:dyDescent="0.65">
      <c r="A965" s="34">
        <v>964</v>
      </c>
      <c r="B965" s="3" t="s">
        <v>2968</v>
      </c>
      <c r="C965" s="1" t="s">
        <v>2969</v>
      </c>
      <c r="D965" s="1">
        <v>64</v>
      </c>
      <c r="E965" s="2" t="s">
        <v>2970</v>
      </c>
      <c r="F965" s="3">
        <v>1</v>
      </c>
      <c r="G965" s="33">
        <v>32874</v>
      </c>
      <c r="H965" s="30">
        <v>45054</v>
      </c>
      <c r="I965" s="1"/>
      <c r="J965" s="1"/>
      <c r="K965" s="1"/>
      <c r="L965" s="1"/>
      <c r="M965" s="1"/>
      <c r="P965" s="3"/>
      <c r="R965" s="1"/>
      <c r="S965" s="1"/>
    </row>
    <row r="966" spans="1:19" x14ac:dyDescent="0.65">
      <c r="A966" s="34">
        <v>965</v>
      </c>
      <c r="B966" s="3" t="s">
        <v>2971</v>
      </c>
      <c r="C966" s="1" t="s">
        <v>2972</v>
      </c>
      <c r="D966" s="1">
        <v>64</v>
      </c>
      <c r="E966" s="2" t="s">
        <v>2973</v>
      </c>
      <c r="F966" s="3">
        <v>1</v>
      </c>
      <c r="G966" s="33">
        <v>32874</v>
      </c>
      <c r="H966" s="30">
        <v>44743</v>
      </c>
      <c r="I966" s="1"/>
      <c r="J966" s="1"/>
      <c r="K966" s="1"/>
      <c r="L966" s="1"/>
      <c r="M966" s="1"/>
      <c r="P966" s="3"/>
      <c r="R966" s="1"/>
      <c r="S966" s="1"/>
    </row>
    <row r="967" spans="1:19" x14ac:dyDescent="0.65">
      <c r="A967" s="34">
        <v>966</v>
      </c>
      <c r="B967" s="3" t="s">
        <v>2974</v>
      </c>
      <c r="C967" s="1" t="s">
        <v>2975</v>
      </c>
      <c r="D967" s="1">
        <v>64</v>
      </c>
      <c r="E967" s="2" t="s">
        <v>2976</v>
      </c>
      <c r="F967" s="3">
        <v>1</v>
      </c>
      <c r="G967" s="33">
        <v>32874</v>
      </c>
      <c r="H967" s="30">
        <v>44979</v>
      </c>
      <c r="I967" s="1"/>
      <c r="J967" s="1"/>
      <c r="K967" s="1"/>
      <c r="L967" s="1"/>
      <c r="M967" s="1"/>
      <c r="P967" s="3"/>
      <c r="R967" s="1"/>
      <c r="S967" s="1"/>
    </row>
    <row r="968" spans="1:19" x14ac:dyDescent="0.65">
      <c r="A968" s="34">
        <v>967</v>
      </c>
      <c r="B968" s="3" t="s">
        <v>2977</v>
      </c>
      <c r="C968" s="1" t="s">
        <v>2978</v>
      </c>
      <c r="D968" s="1">
        <v>64</v>
      </c>
      <c r="E968" s="2" t="s">
        <v>2979</v>
      </c>
      <c r="F968" s="3">
        <v>1</v>
      </c>
      <c r="G968" s="33">
        <v>32874</v>
      </c>
      <c r="H968" s="30">
        <v>42747</v>
      </c>
      <c r="I968" s="1"/>
      <c r="J968" s="1"/>
      <c r="K968" s="1"/>
      <c r="L968" s="1"/>
      <c r="M968" s="1"/>
      <c r="P968" s="3"/>
      <c r="R968" s="1"/>
      <c r="S968" s="1"/>
    </row>
    <row r="969" spans="1:19" x14ac:dyDescent="0.65">
      <c r="A969" s="34">
        <v>968</v>
      </c>
      <c r="B969" s="3" t="s">
        <v>2980</v>
      </c>
      <c r="C969" s="1" t="s">
        <v>2981</v>
      </c>
      <c r="D969" s="1">
        <v>68</v>
      </c>
      <c r="E969" s="2" t="s">
        <v>2982</v>
      </c>
      <c r="F969" s="3">
        <v>1</v>
      </c>
      <c r="G969" s="33">
        <v>32874</v>
      </c>
      <c r="H969" s="30">
        <v>42800</v>
      </c>
      <c r="I969" s="1"/>
      <c r="J969" s="1"/>
      <c r="K969" s="1"/>
      <c r="L969" s="1"/>
      <c r="M969" s="1"/>
      <c r="P969" s="3"/>
      <c r="R969" s="1"/>
      <c r="S969" s="1"/>
    </row>
    <row r="970" spans="1:19" x14ac:dyDescent="0.65">
      <c r="A970" s="34">
        <v>969</v>
      </c>
      <c r="B970" s="3" t="s">
        <v>2983</v>
      </c>
      <c r="C970" s="1" t="s">
        <v>2984</v>
      </c>
      <c r="D970" s="1">
        <v>65</v>
      </c>
      <c r="E970" s="2" t="s">
        <v>2985</v>
      </c>
      <c r="F970" s="3">
        <v>1</v>
      </c>
      <c r="G970" s="33">
        <v>32874</v>
      </c>
      <c r="H970" s="30">
        <v>45390</v>
      </c>
      <c r="I970" s="1"/>
      <c r="J970" s="1"/>
      <c r="K970" s="1"/>
      <c r="L970" s="1"/>
      <c r="M970" s="1"/>
      <c r="P970" s="3"/>
    </row>
    <row r="971" spans="1:19" x14ac:dyDescent="0.65">
      <c r="A971" s="34">
        <v>970</v>
      </c>
      <c r="B971" s="3" t="s">
        <v>2986</v>
      </c>
      <c r="C971" s="1" t="s">
        <v>2987</v>
      </c>
      <c r="D971" s="1">
        <v>65</v>
      </c>
      <c r="E971" s="2" t="s">
        <v>2988</v>
      </c>
      <c r="F971" s="3">
        <v>1</v>
      </c>
      <c r="G971" s="33">
        <v>32874</v>
      </c>
      <c r="H971" s="30">
        <v>45931.589201388888</v>
      </c>
      <c r="I971" s="1"/>
      <c r="J971" s="1"/>
      <c r="K971" s="1"/>
      <c r="L971" s="1"/>
      <c r="M971" s="1"/>
      <c r="P971" s="3"/>
    </row>
    <row r="972" spans="1:19" x14ac:dyDescent="0.65">
      <c r="A972" s="34">
        <v>971</v>
      </c>
      <c r="B972" s="3" t="s">
        <v>2989</v>
      </c>
      <c r="C972" s="1" t="s">
        <v>2990</v>
      </c>
      <c r="D972" s="1">
        <v>65</v>
      </c>
      <c r="E972" s="2" t="s">
        <v>2991</v>
      </c>
      <c r="F972" s="3">
        <v>1</v>
      </c>
      <c r="G972" s="33">
        <v>32874</v>
      </c>
      <c r="H972" s="30">
        <v>45936.344444444447</v>
      </c>
      <c r="I972" s="1"/>
      <c r="J972" s="1"/>
      <c r="K972" s="1"/>
      <c r="L972" s="1"/>
      <c r="M972" s="1"/>
      <c r="P972" s="3"/>
    </row>
    <row r="973" spans="1:19" x14ac:dyDescent="0.65">
      <c r="A973" s="34">
        <v>972</v>
      </c>
      <c r="B973" s="3" t="s">
        <v>2992</v>
      </c>
      <c r="C973" s="1" t="s">
        <v>2993</v>
      </c>
      <c r="D973" s="1">
        <v>65</v>
      </c>
      <c r="E973" s="2" t="s">
        <v>2994</v>
      </c>
      <c r="F973" s="3">
        <v>1</v>
      </c>
      <c r="G973" s="33">
        <v>32874</v>
      </c>
      <c r="H973" s="30">
        <v>45936.344236111108</v>
      </c>
      <c r="I973" s="1"/>
      <c r="J973" s="1"/>
      <c r="K973" s="1"/>
      <c r="L973" s="1"/>
      <c r="M973" s="1"/>
      <c r="P973" s="3"/>
    </row>
    <row r="974" spans="1:19" x14ac:dyDescent="0.65">
      <c r="A974" s="34">
        <v>973</v>
      </c>
      <c r="B974" s="3" t="s">
        <v>2995</v>
      </c>
      <c r="C974" s="1" t="s">
        <v>2996</v>
      </c>
      <c r="D974" s="1">
        <v>64</v>
      </c>
      <c r="E974" s="2" t="s">
        <v>2997</v>
      </c>
      <c r="F974" s="3">
        <v>1</v>
      </c>
      <c r="G974" s="33">
        <v>32874</v>
      </c>
      <c r="H974" s="30">
        <v>43046</v>
      </c>
      <c r="I974" s="1"/>
      <c r="J974" s="1"/>
      <c r="K974" s="1"/>
      <c r="L974" s="1"/>
      <c r="M974" s="1"/>
      <c r="P974" s="3"/>
      <c r="R974" s="1"/>
      <c r="S974" s="1"/>
    </row>
    <row r="975" spans="1:19" x14ac:dyDescent="0.65">
      <c r="A975" s="34">
        <v>974</v>
      </c>
      <c r="B975" s="3" t="s">
        <v>2998</v>
      </c>
      <c r="C975" s="1" t="s">
        <v>2999</v>
      </c>
      <c r="D975" s="1">
        <v>65</v>
      </c>
      <c r="E975" s="2" t="s">
        <v>3000</v>
      </c>
      <c r="F975" s="3">
        <v>1</v>
      </c>
      <c r="G975" s="33">
        <v>32874</v>
      </c>
      <c r="H975" s="30">
        <v>45916.741261574076</v>
      </c>
      <c r="I975" s="1"/>
      <c r="J975" s="1"/>
      <c r="K975" s="1"/>
      <c r="L975" s="1"/>
      <c r="M975" s="1"/>
      <c r="P975" s="3"/>
    </row>
    <row r="976" spans="1:19" x14ac:dyDescent="0.65">
      <c r="A976" s="34">
        <v>975</v>
      </c>
      <c r="B976" s="3" t="s">
        <v>3001</v>
      </c>
      <c r="C976" s="1" t="s">
        <v>3002</v>
      </c>
      <c r="D976" s="1">
        <v>64</v>
      </c>
      <c r="E976" s="2" t="s">
        <v>3003</v>
      </c>
      <c r="F976" s="3">
        <v>1</v>
      </c>
      <c r="G976" s="33">
        <v>32874</v>
      </c>
      <c r="H976" s="30">
        <v>45047</v>
      </c>
      <c r="I976" s="1"/>
      <c r="J976" s="1"/>
      <c r="K976" s="1"/>
      <c r="L976" s="1"/>
      <c r="M976" s="1"/>
      <c r="P976" s="3"/>
      <c r="R976" s="1"/>
      <c r="S976" s="1"/>
    </row>
    <row r="977" spans="1:19" x14ac:dyDescent="0.65">
      <c r="A977" s="34">
        <v>976</v>
      </c>
      <c r="B977" s="3" t="s">
        <v>3004</v>
      </c>
      <c r="C977" s="1" t="s">
        <v>3005</v>
      </c>
      <c r="D977" s="1">
        <v>64</v>
      </c>
      <c r="E977" s="2" t="s">
        <v>3006</v>
      </c>
      <c r="F977" s="3">
        <v>1</v>
      </c>
      <c r="G977" s="33">
        <v>32874</v>
      </c>
      <c r="H977" s="30">
        <v>44123</v>
      </c>
      <c r="I977" s="1"/>
      <c r="J977" s="1"/>
      <c r="K977" s="1"/>
      <c r="L977" s="1"/>
      <c r="M977" s="1"/>
      <c r="P977" s="3"/>
      <c r="R977" s="1"/>
      <c r="S977" s="1"/>
    </row>
    <row r="978" spans="1:19" x14ac:dyDescent="0.65">
      <c r="A978" s="34">
        <v>977</v>
      </c>
      <c r="B978" s="3" t="s">
        <v>3007</v>
      </c>
      <c r="C978" s="1" t="s">
        <v>3008</v>
      </c>
      <c r="D978" s="1">
        <v>64</v>
      </c>
      <c r="E978" s="2" t="s">
        <v>3009</v>
      </c>
      <c r="F978" s="3">
        <v>1</v>
      </c>
      <c r="G978" s="33">
        <v>32874</v>
      </c>
      <c r="H978" s="30">
        <v>44425</v>
      </c>
      <c r="I978" s="1"/>
      <c r="J978" s="1"/>
      <c r="K978" s="1"/>
      <c r="L978" s="1"/>
      <c r="M978" s="1"/>
      <c r="P978" s="3"/>
      <c r="R978" s="1"/>
      <c r="S978" s="1"/>
    </row>
    <row r="979" spans="1:19" x14ac:dyDescent="0.65">
      <c r="A979" s="34">
        <v>978</v>
      </c>
      <c r="B979" s="3" t="s">
        <v>3010</v>
      </c>
      <c r="C979" s="1" t="s">
        <v>3011</v>
      </c>
      <c r="D979" s="1">
        <v>64</v>
      </c>
      <c r="E979" s="2" t="s">
        <v>3012</v>
      </c>
      <c r="F979" s="3">
        <v>1</v>
      </c>
      <c r="G979" s="33">
        <v>32874</v>
      </c>
      <c r="H979" s="30">
        <v>45762.709745370368</v>
      </c>
      <c r="I979" s="1"/>
      <c r="J979" s="1"/>
      <c r="K979" s="1"/>
      <c r="L979" s="1"/>
      <c r="M979" s="1"/>
      <c r="P979" s="3"/>
      <c r="R979" s="1"/>
      <c r="S979" s="1"/>
    </row>
    <row r="980" spans="1:19" x14ac:dyDescent="0.65">
      <c r="A980" s="34">
        <v>979</v>
      </c>
      <c r="B980" s="3" t="s">
        <v>3013</v>
      </c>
      <c r="C980" s="1" t="s">
        <v>3014</v>
      </c>
      <c r="D980" s="1">
        <v>64</v>
      </c>
      <c r="E980" s="2" t="s">
        <v>3015</v>
      </c>
      <c r="F980" s="3">
        <v>1</v>
      </c>
      <c r="G980" s="33">
        <v>32874</v>
      </c>
      <c r="H980" s="30">
        <v>43668</v>
      </c>
      <c r="I980" s="1"/>
      <c r="J980" s="1"/>
      <c r="K980" s="1"/>
      <c r="L980" s="1"/>
      <c r="M980" s="1"/>
      <c r="P980" s="3"/>
      <c r="R980" s="1"/>
      <c r="S980" s="1"/>
    </row>
    <row r="981" spans="1:19" x14ac:dyDescent="0.65">
      <c r="A981" s="34">
        <v>980</v>
      </c>
      <c r="B981" s="3" t="s">
        <v>3016</v>
      </c>
      <c r="C981" s="1" t="s">
        <v>3017</v>
      </c>
      <c r="D981" s="1">
        <v>69</v>
      </c>
      <c r="E981" s="2" t="s">
        <v>3018</v>
      </c>
      <c r="F981" s="3">
        <v>1</v>
      </c>
      <c r="G981" s="33">
        <v>32874</v>
      </c>
      <c r="H981" s="30">
        <v>45597</v>
      </c>
      <c r="I981" s="1"/>
      <c r="J981" s="1"/>
      <c r="K981" s="1"/>
      <c r="L981" s="1"/>
      <c r="M981" s="1"/>
      <c r="P981" s="3"/>
    </row>
    <row r="982" spans="1:19" x14ac:dyDescent="0.65">
      <c r="A982" s="34">
        <v>981</v>
      </c>
      <c r="B982" s="3" t="s">
        <v>3020</v>
      </c>
      <c r="C982" s="1" t="s">
        <v>3021</v>
      </c>
      <c r="D982" s="1">
        <v>69</v>
      </c>
      <c r="E982" s="2" t="s">
        <v>3022</v>
      </c>
      <c r="F982" s="3">
        <v>1</v>
      </c>
      <c r="G982" s="33">
        <v>32874</v>
      </c>
      <c r="H982" s="30">
        <v>45569</v>
      </c>
      <c r="I982" s="1"/>
      <c r="J982" s="1"/>
      <c r="K982" s="1"/>
      <c r="L982" s="1"/>
      <c r="M982" s="1"/>
      <c r="P982" s="3"/>
    </row>
    <row r="983" spans="1:19" x14ac:dyDescent="0.65">
      <c r="A983" s="34">
        <v>982</v>
      </c>
      <c r="B983" s="3" t="s">
        <v>3023</v>
      </c>
      <c r="C983" s="1" t="s">
        <v>3024</v>
      </c>
      <c r="D983" s="1">
        <v>69</v>
      </c>
      <c r="E983" s="2" t="s">
        <v>3025</v>
      </c>
      <c r="F983" s="3">
        <v>1</v>
      </c>
      <c r="G983" s="33">
        <v>32874</v>
      </c>
      <c r="H983" s="30">
        <v>45583</v>
      </c>
      <c r="I983" s="1"/>
      <c r="J983" s="1"/>
      <c r="K983" s="1"/>
      <c r="L983" s="1"/>
      <c r="M983" s="1"/>
      <c r="P983" s="3"/>
    </row>
    <row r="984" spans="1:19" x14ac:dyDescent="0.65">
      <c r="A984" s="34">
        <v>983</v>
      </c>
      <c r="B984" s="3" t="s">
        <v>3026</v>
      </c>
      <c r="C984" s="1" t="s">
        <v>3027</v>
      </c>
      <c r="D984" s="1">
        <v>69</v>
      </c>
      <c r="E984" s="2" t="s">
        <v>3028</v>
      </c>
      <c r="F984" s="3">
        <v>1</v>
      </c>
      <c r="G984" s="33">
        <v>32874</v>
      </c>
      <c r="H984" s="30">
        <v>45604</v>
      </c>
      <c r="I984" s="1"/>
      <c r="J984" s="1"/>
      <c r="K984" s="1"/>
      <c r="L984" s="1"/>
      <c r="M984" s="1"/>
      <c r="P984" s="3"/>
    </row>
    <row r="985" spans="1:19" x14ac:dyDescent="0.65">
      <c r="A985" s="34">
        <v>984</v>
      </c>
      <c r="B985" s="3" t="s">
        <v>3029</v>
      </c>
      <c r="C985" s="1" t="s">
        <v>3030</v>
      </c>
      <c r="D985" s="1">
        <v>69</v>
      </c>
      <c r="E985" s="2" t="s">
        <v>3031</v>
      </c>
      <c r="F985" s="3">
        <v>1</v>
      </c>
      <c r="G985" s="33">
        <v>32874</v>
      </c>
      <c r="H985" s="30">
        <v>44146</v>
      </c>
      <c r="I985" s="1"/>
      <c r="J985" s="1"/>
      <c r="K985" s="1"/>
      <c r="L985" s="1"/>
      <c r="M985" s="1"/>
      <c r="P985" s="3"/>
    </row>
    <row r="986" spans="1:19" x14ac:dyDescent="0.65">
      <c r="A986" s="34">
        <v>985</v>
      </c>
      <c r="B986" s="3" t="s">
        <v>3032</v>
      </c>
      <c r="C986" s="1" t="s">
        <v>3033</v>
      </c>
      <c r="D986" s="1">
        <v>69</v>
      </c>
      <c r="E986" s="2" t="s">
        <v>3034</v>
      </c>
      <c r="F986" s="3">
        <v>1</v>
      </c>
      <c r="G986" s="33">
        <v>32874</v>
      </c>
      <c r="H986" s="30">
        <v>45582</v>
      </c>
      <c r="I986" s="1"/>
      <c r="J986" s="1"/>
      <c r="K986" s="1"/>
      <c r="L986" s="1"/>
      <c r="M986" s="1"/>
      <c r="P986" s="3"/>
    </row>
    <row r="987" spans="1:19" x14ac:dyDescent="0.65">
      <c r="A987" s="34">
        <v>986</v>
      </c>
      <c r="B987" s="3" t="s">
        <v>3035</v>
      </c>
      <c r="C987" s="1" t="s">
        <v>3036</v>
      </c>
      <c r="D987" s="1">
        <v>69</v>
      </c>
      <c r="E987" s="2" t="s">
        <v>3037</v>
      </c>
      <c r="F987" s="3">
        <v>1</v>
      </c>
      <c r="G987" s="33">
        <v>32874</v>
      </c>
      <c r="H987" s="30">
        <v>45604</v>
      </c>
      <c r="I987" s="1"/>
      <c r="J987" s="1"/>
      <c r="K987" s="1"/>
      <c r="L987" s="1"/>
      <c r="M987" s="1"/>
      <c r="P987" s="3"/>
    </row>
    <row r="988" spans="1:19" x14ac:dyDescent="0.65">
      <c r="A988" s="34">
        <v>987</v>
      </c>
      <c r="B988" s="3" t="s">
        <v>3038</v>
      </c>
      <c r="C988" s="1" t="s">
        <v>3039</v>
      </c>
      <c r="D988" s="1">
        <v>69</v>
      </c>
      <c r="E988" s="2" t="s">
        <v>3040</v>
      </c>
      <c r="F988" s="3">
        <v>1</v>
      </c>
      <c r="G988" s="33">
        <v>32874</v>
      </c>
      <c r="H988" s="30">
        <v>45604</v>
      </c>
      <c r="I988" s="1"/>
      <c r="J988" s="1"/>
      <c r="K988" s="1"/>
      <c r="L988" s="1"/>
      <c r="M988" s="1"/>
      <c r="P988" s="3"/>
    </row>
    <row r="989" spans="1:19" x14ac:dyDescent="0.65">
      <c r="A989" s="34">
        <v>988</v>
      </c>
      <c r="B989" s="3" t="s">
        <v>3041</v>
      </c>
      <c r="C989" s="1" t="s">
        <v>3042</v>
      </c>
      <c r="D989" s="1">
        <v>69</v>
      </c>
      <c r="E989" s="2" t="s">
        <v>3043</v>
      </c>
      <c r="F989" s="3">
        <v>1</v>
      </c>
      <c r="G989" s="33">
        <v>32874</v>
      </c>
      <c r="H989" s="30">
        <v>44910</v>
      </c>
      <c r="I989" s="1"/>
      <c r="J989" s="1"/>
      <c r="K989" s="1"/>
      <c r="L989" s="1"/>
      <c r="M989" s="1"/>
      <c r="P989" s="3"/>
    </row>
    <row r="990" spans="1:19" x14ac:dyDescent="0.65">
      <c r="A990" s="34">
        <v>989</v>
      </c>
      <c r="B990" s="3" t="s">
        <v>3044</v>
      </c>
      <c r="C990" s="1" t="s">
        <v>3045</v>
      </c>
      <c r="D990" s="1">
        <v>69</v>
      </c>
      <c r="E990" s="2" t="s">
        <v>3046</v>
      </c>
      <c r="F990" s="3">
        <v>1</v>
      </c>
      <c r="G990" s="33">
        <v>32874</v>
      </c>
      <c r="H990" s="30">
        <v>44152</v>
      </c>
      <c r="I990" s="1"/>
      <c r="J990" s="1"/>
      <c r="K990" s="1"/>
      <c r="L990" s="1"/>
      <c r="M990" s="1"/>
      <c r="P990" s="3"/>
    </row>
    <row r="991" spans="1:19" x14ac:dyDescent="0.65">
      <c r="A991" s="34">
        <v>990</v>
      </c>
      <c r="B991" s="3" t="s">
        <v>3047</v>
      </c>
      <c r="C991" s="1" t="s">
        <v>2408</v>
      </c>
      <c r="D991" s="1">
        <v>69</v>
      </c>
      <c r="E991" s="2" t="s">
        <v>3048</v>
      </c>
      <c r="F991" s="3">
        <v>1</v>
      </c>
      <c r="G991" s="33">
        <v>32874</v>
      </c>
      <c r="H991" s="30">
        <v>45667.452835648146</v>
      </c>
      <c r="I991" s="1"/>
      <c r="J991" s="1"/>
      <c r="K991" s="1"/>
      <c r="L991" s="1"/>
      <c r="M991" s="1"/>
      <c r="P991" s="3"/>
    </row>
    <row r="992" spans="1:19" x14ac:dyDescent="0.65">
      <c r="A992" s="34">
        <v>991</v>
      </c>
      <c r="B992" s="3" t="s">
        <v>3049</v>
      </c>
      <c r="C992" s="1" t="s">
        <v>3050</v>
      </c>
      <c r="D992" s="1">
        <v>69</v>
      </c>
      <c r="E992" s="2" t="s">
        <v>3051</v>
      </c>
      <c r="F992" s="3">
        <v>1</v>
      </c>
      <c r="G992" s="33">
        <v>32874</v>
      </c>
      <c r="H992" s="30">
        <v>44152</v>
      </c>
      <c r="I992" s="1"/>
      <c r="J992" s="1"/>
      <c r="K992" s="1"/>
      <c r="L992" s="1"/>
      <c r="M992" s="1"/>
      <c r="P992" s="3"/>
    </row>
    <row r="993" spans="1:19" x14ac:dyDescent="0.65">
      <c r="A993" s="34">
        <v>992</v>
      </c>
      <c r="B993" s="3" t="s">
        <v>3052</v>
      </c>
      <c r="C993" s="1" t="s">
        <v>3053</v>
      </c>
      <c r="D993" s="1">
        <v>69</v>
      </c>
      <c r="E993" s="2" t="s">
        <v>3054</v>
      </c>
      <c r="F993" s="3">
        <v>1</v>
      </c>
      <c r="G993" s="33">
        <v>32874</v>
      </c>
      <c r="H993" s="30">
        <v>45582</v>
      </c>
      <c r="I993" s="1"/>
      <c r="J993" s="1"/>
      <c r="K993" s="1"/>
      <c r="L993" s="1"/>
      <c r="M993" s="1"/>
      <c r="P993" s="3"/>
    </row>
    <row r="994" spans="1:19" x14ac:dyDescent="0.65">
      <c r="A994" s="34">
        <v>993</v>
      </c>
      <c r="B994" s="3" t="s">
        <v>3055</v>
      </c>
      <c r="C994" s="1" t="s">
        <v>3056</v>
      </c>
      <c r="D994" s="1">
        <v>69</v>
      </c>
      <c r="E994" s="2" t="s">
        <v>3057</v>
      </c>
      <c r="F994" s="3">
        <v>1</v>
      </c>
      <c r="G994" s="33">
        <v>32874</v>
      </c>
      <c r="H994" s="30">
        <v>45567</v>
      </c>
      <c r="I994" s="1"/>
      <c r="J994" s="1"/>
      <c r="K994" s="1"/>
      <c r="L994" s="1"/>
      <c r="M994" s="1"/>
      <c r="P994" s="3"/>
    </row>
    <row r="995" spans="1:19" x14ac:dyDescent="0.65">
      <c r="A995" s="34">
        <v>994</v>
      </c>
      <c r="B995" s="3" t="s">
        <v>3058</v>
      </c>
      <c r="C995" s="1" t="s">
        <v>3059</v>
      </c>
      <c r="D995" s="1">
        <v>69</v>
      </c>
      <c r="E995" s="2" t="s">
        <v>3060</v>
      </c>
      <c r="F995" s="3">
        <v>1</v>
      </c>
      <c r="G995" s="33">
        <v>32874</v>
      </c>
      <c r="H995" s="30">
        <v>44160</v>
      </c>
      <c r="I995" s="1"/>
      <c r="J995" s="1"/>
      <c r="K995" s="1"/>
      <c r="L995" s="1"/>
      <c r="M995" s="1"/>
      <c r="P995" s="3"/>
    </row>
    <row r="996" spans="1:19" x14ac:dyDescent="0.65">
      <c r="A996" s="34">
        <v>995</v>
      </c>
      <c r="B996" s="3" t="s">
        <v>3061</v>
      </c>
      <c r="C996" s="1" t="s">
        <v>3062</v>
      </c>
      <c r="D996" s="1">
        <v>69</v>
      </c>
      <c r="E996" s="2" t="s">
        <v>3063</v>
      </c>
      <c r="F996" s="3">
        <v>1</v>
      </c>
      <c r="G996" s="33">
        <v>32874</v>
      </c>
      <c r="H996" s="30">
        <v>45597</v>
      </c>
      <c r="I996" s="1"/>
      <c r="J996" s="1"/>
      <c r="K996" s="1"/>
      <c r="L996" s="1"/>
      <c r="M996" s="1"/>
      <c r="P996" s="3"/>
    </row>
    <row r="997" spans="1:19" x14ac:dyDescent="0.65">
      <c r="A997" s="34">
        <v>996</v>
      </c>
      <c r="B997" s="3" t="s">
        <v>3064</v>
      </c>
      <c r="C997" s="1" t="s">
        <v>3065</v>
      </c>
      <c r="D997" s="1">
        <v>69</v>
      </c>
      <c r="E997" s="2" t="s">
        <v>3066</v>
      </c>
      <c r="F997" s="3">
        <v>1</v>
      </c>
      <c r="G997" s="33">
        <v>32874</v>
      </c>
      <c r="H997" s="30">
        <v>44159</v>
      </c>
      <c r="I997" s="1"/>
      <c r="J997" s="1"/>
      <c r="K997" s="1"/>
      <c r="L997" s="1"/>
      <c r="M997" s="1"/>
      <c r="P997" s="3"/>
    </row>
    <row r="998" spans="1:19" x14ac:dyDescent="0.65">
      <c r="A998" s="34">
        <v>997</v>
      </c>
      <c r="B998" s="3" t="s">
        <v>3067</v>
      </c>
      <c r="C998" s="1" t="s">
        <v>3068</v>
      </c>
      <c r="D998" s="1">
        <v>64</v>
      </c>
      <c r="E998" s="2" t="s">
        <v>3069</v>
      </c>
      <c r="F998" s="3">
        <v>1</v>
      </c>
      <c r="G998" s="33">
        <v>32874</v>
      </c>
      <c r="H998" s="30">
        <v>43536</v>
      </c>
      <c r="I998" s="1"/>
      <c r="J998" s="1"/>
      <c r="K998" s="1"/>
      <c r="L998" s="1"/>
      <c r="M998" s="1"/>
      <c r="P998" s="3"/>
      <c r="R998" s="1"/>
      <c r="S998" s="1"/>
    </row>
    <row r="999" spans="1:19" x14ac:dyDescent="0.65">
      <c r="A999" s="34">
        <v>998</v>
      </c>
      <c r="B999" s="3" t="s">
        <v>3070</v>
      </c>
      <c r="C999" s="1" t="s">
        <v>3071</v>
      </c>
      <c r="D999" s="1">
        <v>64</v>
      </c>
      <c r="E999" s="2" t="s">
        <v>3072</v>
      </c>
      <c r="F999" s="3">
        <v>1</v>
      </c>
      <c r="G999" s="33">
        <v>32874</v>
      </c>
      <c r="H999" s="30">
        <v>43921</v>
      </c>
      <c r="I999" s="1"/>
      <c r="J999" s="1"/>
      <c r="K999" s="1"/>
      <c r="L999" s="1"/>
      <c r="M999" s="1"/>
      <c r="P999" s="3"/>
      <c r="R999" s="1"/>
      <c r="S999" s="1"/>
    </row>
    <row r="1000" spans="1:19" x14ac:dyDescent="0.65">
      <c r="A1000" s="34">
        <v>999</v>
      </c>
      <c r="B1000" s="3" t="s">
        <v>3073</v>
      </c>
      <c r="C1000" s="1" t="s">
        <v>3074</v>
      </c>
      <c r="D1000" s="1">
        <v>64</v>
      </c>
      <c r="E1000" s="2" t="s">
        <v>3075</v>
      </c>
      <c r="F1000" s="3">
        <v>1</v>
      </c>
      <c r="G1000" s="33">
        <v>32874</v>
      </c>
      <c r="H1000" s="30">
        <v>44951</v>
      </c>
      <c r="I1000" s="1"/>
      <c r="J1000" s="1"/>
      <c r="K1000" s="1"/>
      <c r="L1000" s="1"/>
      <c r="M1000" s="1"/>
      <c r="P1000" s="3"/>
      <c r="R1000" s="1"/>
      <c r="S1000" s="1"/>
    </row>
    <row r="1001" spans="1:19" x14ac:dyDescent="0.65">
      <c r="A1001" s="34">
        <v>1000</v>
      </c>
      <c r="B1001" s="3" t="s">
        <v>3076</v>
      </c>
      <c r="C1001" s="1" t="s">
        <v>3077</v>
      </c>
      <c r="D1001" s="1">
        <v>64</v>
      </c>
      <c r="E1001" s="2" t="s">
        <v>3078</v>
      </c>
      <c r="F1001" s="3">
        <v>1</v>
      </c>
      <c r="G1001" s="33">
        <v>32874</v>
      </c>
      <c r="H1001" s="30">
        <v>43600</v>
      </c>
      <c r="I1001" s="1"/>
      <c r="J1001" s="1"/>
      <c r="K1001" s="1"/>
      <c r="L1001" s="1"/>
      <c r="M1001" s="1"/>
      <c r="P1001" s="3"/>
      <c r="R1001" s="1"/>
      <c r="S1001" s="1"/>
    </row>
    <row r="1002" spans="1:19" x14ac:dyDescent="0.65">
      <c r="A1002" s="34">
        <v>1001</v>
      </c>
      <c r="B1002" s="3" t="s">
        <v>3079</v>
      </c>
      <c r="C1002" s="1" t="s">
        <v>3080</v>
      </c>
      <c r="D1002" s="1">
        <v>69</v>
      </c>
      <c r="E1002" s="2" t="s">
        <v>3081</v>
      </c>
      <c r="F1002" s="3">
        <v>1</v>
      </c>
      <c r="G1002" s="33">
        <v>32874</v>
      </c>
      <c r="H1002" s="30">
        <v>44159</v>
      </c>
      <c r="I1002" s="1"/>
      <c r="J1002" s="1"/>
      <c r="K1002" s="1"/>
      <c r="L1002" s="1"/>
      <c r="M1002" s="1"/>
      <c r="P1002" s="3"/>
    </row>
    <row r="1003" spans="1:19" x14ac:dyDescent="0.65">
      <c r="A1003" s="34">
        <v>1002</v>
      </c>
      <c r="B1003" s="3" t="s">
        <v>3082</v>
      </c>
      <c r="C1003" s="1" t="s">
        <v>3083</v>
      </c>
      <c r="D1003" s="1">
        <v>64</v>
      </c>
      <c r="E1003" s="2" t="s">
        <v>3084</v>
      </c>
      <c r="F1003" s="3">
        <v>1</v>
      </c>
      <c r="G1003" s="33">
        <v>32874</v>
      </c>
      <c r="H1003" s="30">
        <v>45924.612002314818</v>
      </c>
      <c r="I1003" s="1"/>
      <c r="J1003" s="1"/>
      <c r="K1003" s="1"/>
      <c r="L1003" s="1"/>
      <c r="M1003" s="1"/>
      <c r="P1003" s="3"/>
      <c r="R1003" s="1"/>
      <c r="S1003" s="1"/>
    </row>
    <row r="1004" spans="1:19" x14ac:dyDescent="0.65">
      <c r="A1004" s="34">
        <v>1003</v>
      </c>
      <c r="B1004" s="3" t="s">
        <v>3085</v>
      </c>
      <c r="C1004" s="1" t="s">
        <v>3086</v>
      </c>
      <c r="D1004" s="1">
        <v>64</v>
      </c>
      <c r="E1004" s="2" t="s">
        <v>3087</v>
      </c>
      <c r="F1004" s="3">
        <v>1</v>
      </c>
      <c r="G1004" s="33">
        <v>32874</v>
      </c>
      <c r="H1004" s="30">
        <v>43816</v>
      </c>
      <c r="I1004" s="1"/>
      <c r="J1004" s="1"/>
      <c r="K1004" s="1"/>
      <c r="L1004" s="1"/>
      <c r="M1004" s="1"/>
      <c r="P1004" s="3"/>
      <c r="R1004" s="1"/>
      <c r="S1004" s="1"/>
    </row>
    <row r="1005" spans="1:19" x14ac:dyDescent="0.65">
      <c r="A1005" s="34">
        <v>1004</v>
      </c>
      <c r="B1005" s="3" t="s">
        <v>3088</v>
      </c>
      <c r="C1005" s="1" t="s">
        <v>3089</v>
      </c>
      <c r="D1005" s="1">
        <v>65</v>
      </c>
      <c r="E1005" s="2" t="s">
        <v>3090</v>
      </c>
      <c r="F1005" s="3">
        <v>1</v>
      </c>
      <c r="G1005" s="33">
        <v>32874</v>
      </c>
      <c r="H1005" s="30">
        <v>44937</v>
      </c>
      <c r="I1005" s="1"/>
      <c r="J1005" s="1"/>
      <c r="K1005" s="1"/>
      <c r="L1005" s="1"/>
      <c r="M1005" s="1"/>
      <c r="P1005" s="3"/>
    </row>
    <row r="1006" spans="1:19" x14ac:dyDescent="0.65">
      <c r="A1006" s="34">
        <v>1005</v>
      </c>
      <c r="B1006" s="3" t="s">
        <v>3091</v>
      </c>
      <c r="C1006" s="1" t="s">
        <v>3092</v>
      </c>
      <c r="D1006" s="1">
        <v>64</v>
      </c>
      <c r="E1006" s="2" t="s">
        <v>3093</v>
      </c>
      <c r="F1006" s="3">
        <v>1</v>
      </c>
      <c r="G1006" s="33">
        <v>32874</v>
      </c>
      <c r="H1006" s="30">
        <v>43761</v>
      </c>
      <c r="I1006" s="1"/>
      <c r="J1006" s="1"/>
      <c r="K1006" s="1"/>
      <c r="L1006" s="1"/>
      <c r="M1006" s="1"/>
      <c r="P1006" s="3"/>
      <c r="R1006" s="1"/>
      <c r="S1006" s="1"/>
    </row>
    <row r="1007" spans="1:19" x14ac:dyDescent="0.65">
      <c r="A1007" s="34">
        <v>1006</v>
      </c>
      <c r="B1007" s="3" t="s">
        <v>3094</v>
      </c>
      <c r="C1007" s="1" t="s">
        <v>3095</v>
      </c>
      <c r="D1007" s="1">
        <v>69</v>
      </c>
      <c r="E1007" s="2" t="s">
        <v>3096</v>
      </c>
      <c r="F1007" s="3">
        <v>1</v>
      </c>
      <c r="G1007" s="33">
        <v>32874</v>
      </c>
      <c r="H1007" s="30">
        <v>45586</v>
      </c>
      <c r="I1007" s="1"/>
      <c r="J1007" s="1"/>
      <c r="K1007" s="1"/>
      <c r="L1007" s="1"/>
      <c r="M1007" s="1"/>
      <c r="P1007" s="3"/>
    </row>
    <row r="1008" spans="1:19" x14ac:dyDescent="0.65">
      <c r="A1008" s="34">
        <v>1007</v>
      </c>
      <c r="B1008" s="3" t="s">
        <v>3097</v>
      </c>
      <c r="C1008" s="1" t="s">
        <v>3098</v>
      </c>
      <c r="D1008" s="1">
        <v>64</v>
      </c>
      <c r="E1008" s="2" t="s">
        <v>3099</v>
      </c>
      <c r="F1008" s="3">
        <v>1</v>
      </c>
      <c r="G1008" s="33">
        <v>32874</v>
      </c>
      <c r="H1008" s="30">
        <v>43878</v>
      </c>
      <c r="I1008" s="1"/>
      <c r="J1008" s="1"/>
      <c r="K1008" s="1"/>
      <c r="L1008" s="1"/>
      <c r="M1008" s="1"/>
      <c r="P1008" s="3"/>
      <c r="R1008" s="1"/>
      <c r="S1008" s="1"/>
    </row>
    <row r="1009" spans="1:19" x14ac:dyDescent="0.65">
      <c r="A1009" s="34">
        <v>1008</v>
      </c>
      <c r="B1009" s="3" t="s">
        <v>3100</v>
      </c>
      <c r="C1009" s="1" t="s">
        <v>3101</v>
      </c>
      <c r="D1009" s="1">
        <v>64</v>
      </c>
      <c r="E1009" s="2" t="s">
        <v>3102</v>
      </c>
      <c r="F1009" s="3">
        <v>1</v>
      </c>
      <c r="G1009" s="33">
        <v>32874</v>
      </c>
      <c r="H1009" s="30">
        <v>43881</v>
      </c>
      <c r="I1009" s="1"/>
      <c r="J1009" s="1"/>
      <c r="K1009" s="1"/>
      <c r="L1009" s="1"/>
      <c r="M1009" s="1"/>
      <c r="P1009" s="3"/>
      <c r="R1009" s="1"/>
      <c r="S1009" s="1"/>
    </row>
    <row r="1010" spans="1:19" x14ac:dyDescent="0.65">
      <c r="A1010" s="34">
        <v>1009</v>
      </c>
      <c r="B1010" s="3" t="s">
        <v>3103</v>
      </c>
      <c r="C1010" s="1" t="s">
        <v>3104</v>
      </c>
      <c r="D1010" s="1">
        <v>64</v>
      </c>
      <c r="E1010" s="2" t="s">
        <v>3105</v>
      </c>
      <c r="F1010" s="3">
        <v>1</v>
      </c>
      <c r="G1010" s="33">
        <v>32874</v>
      </c>
      <c r="H1010" s="30">
        <v>45896.441400462965</v>
      </c>
      <c r="I1010" s="1"/>
      <c r="J1010" s="1"/>
      <c r="K1010" s="1"/>
      <c r="L1010" s="1"/>
      <c r="M1010" s="1"/>
      <c r="P1010" s="3"/>
      <c r="R1010" s="1"/>
      <c r="S1010" s="1"/>
    </row>
    <row r="1011" spans="1:19" x14ac:dyDescent="0.65">
      <c r="A1011" s="34">
        <v>1010</v>
      </c>
      <c r="B1011" s="3" t="s">
        <v>3106</v>
      </c>
      <c r="C1011" s="1" t="s">
        <v>3107</v>
      </c>
      <c r="D1011" s="1">
        <v>67</v>
      </c>
      <c r="E1011" s="2" t="s">
        <v>3108</v>
      </c>
      <c r="F1011" s="3">
        <v>1</v>
      </c>
      <c r="G1011" s="33">
        <v>32874</v>
      </c>
      <c r="H1011" s="30">
        <v>43987</v>
      </c>
      <c r="I1011" s="1"/>
      <c r="J1011" s="1"/>
      <c r="K1011" s="1"/>
      <c r="L1011" s="1"/>
      <c r="M1011" s="1"/>
      <c r="P1011" s="3"/>
      <c r="R1011" s="1"/>
      <c r="S1011" s="1"/>
    </row>
    <row r="1012" spans="1:19" x14ac:dyDescent="0.65">
      <c r="A1012" s="34">
        <v>1011</v>
      </c>
      <c r="B1012" s="3" t="s">
        <v>3109</v>
      </c>
      <c r="C1012" s="1" t="s">
        <v>3110</v>
      </c>
      <c r="D1012" s="1">
        <v>65</v>
      </c>
      <c r="E1012" s="2" t="s">
        <v>3111</v>
      </c>
      <c r="F1012" s="3">
        <v>1</v>
      </c>
      <c r="G1012" s="33">
        <v>32874</v>
      </c>
      <c r="H1012" s="30">
        <v>44937</v>
      </c>
      <c r="I1012" s="1"/>
      <c r="J1012" s="1"/>
      <c r="K1012" s="1"/>
      <c r="L1012" s="1"/>
      <c r="M1012" s="1"/>
      <c r="P1012" s="3"/>
    </row>
    <row r="1013" spans="1:19" x14ac:dyDescent="0.65">
      <c r="A1013" s="34">
        <v>1012</v>
      </c>
      <c r="B1013" s="3" t="s">
        <v>3112</v>
      </c>
      <c r="C1013" s="1" t="s">
        <v>3113</v>
      </c>
      <c r="D1013" s="1">
        <v>64</v>
      </c>
      <c r="E1013" s="2" t="s">
        <v>3114</v>
      </c>
      <c r="F1013" s="3">
        <v>1</v>
      </c>
      <c r="G1013" s="33">
        <v>32874</v>
      </c>
      <c r="H1013" s="30">
        <v>45904.369131944448</v>
      </c>
      <c r="I1013" s="1"/>
      <c r="J1013" s="1"/>
      <c r="K1013" s="1"/>
      <c r="L1013" s="1"/>
      <c r="M1013" s="1"/>
      <c r="P1013" s="3"/>
      <c r="R1013" s="1"/>
      <c r="S1013" s="1"/>
    </row>
    <row r="1014" spans="1:19" x14ac:dyDescent="0.65">
      <c r="A1014" s="34">
        <v>1013</v>
      </c>
      <c r="B1014" s="3" t="s">
        <v>3115</v>
      </c>
      <c r="C1014" s="1" t="s">
        <v>3116</v>
      </c>
      <c r="D1014" s="1">
        <v>65</v>
      </c>
      <c r="E1014" s="2" t="s">
        <v>3117</v>
      </c>
      <c r="F1014" s="3">
        <v>1</v>
      </c>
      <c r="G1014" s="33">
        <v>32874</v>
      </c>
      <c r="H1014" s="30">
        <v>44992</v>
      </c>
      <c r="I1014" s="1"/>
      <c r="J1014" s="1"/>
      <c r="K1014" s="1"/>
      <c r="L1014" s="1"/>
      <c r="M1014" s="1"/>
      <c r="P1014" s="3"/>
    </row>
    <row r="1015" spans="1:19" x14ac:dyDescent="0.65">
      <c r="A1015" s="34">
        <v>1014</v>
      </c>
      <c r="B1015" s="3" t="s">
        <v>3118</v>
      </c>
      <c r="C1015" s="1" t="s">
        <v>3119</v>
      </c>
      <c r="D1015" s="1">
        <v>64</v>
      </c>
      <c r="E1015" s="2" t="s">
        <v>3120</v>
      </c>
      <c r="F1015" s="3">
        <v>1</v>
      </c>
      <c r="G1015" s="33">
        <v>32874</v>
      </c>
      <c r="H1015" s="30">
        <v>44383</v>
      </c>
      <c r="I1015" s="1"/>
      <c r="J1015" s="1"/>
      <c r="K1015" s="1"/>
      <c r="L1015" s="1"/>
      <c r="M1015" s="1"/>
      <c r="P1015" s="3"/>
      <c r="R1015" s="1"/>
      <c r="S1015" s="1"/>
    </row>
    <row r="1016" spans="1:19" x14ac:dyDescent="0.65">
      <c r="A1016" s="34">
        <v>1015</v>
      </c>
      <c r="B1016" s="3" t="s">
        <v>3121</v>
      </c>
      <c r="C1016" s="1" t="s">
        <v>3122</v>
      </c>
      <c r="D1016" s="1">
        <v>69</v>
      </c>
      <c r="E1016" s="2" t="s">
        <v>3123</v>
      </c>
      <c r="F1016" s="3">
        <v>1</v>
      </c>
      <c r="G1016" s="33">
        <v>32874</v>
      </c>
      <c r="H1016" s="30">
        <v>45327</v>
      </c>
      <c r="I1016" s="1"/>
      <c r="J1016" s="1"/>
      <c r="K1016" s="1"/>
      <c r="L1016" s="1"/>
      <c r="M1016" s="1"/>
      <c r="P1016" s="3"/>
    </row>
    <row r="1017" spans="1:19" x14ac:dyDescent="0.65">
      <c r="A1017" s="34">
        <v>1016</v>
      </c>
      <c r="B1017" s="3" t="s">
        <v>3124</v>
      </c>
      <c r="C1017" s="1" t="s">
        <v>3125</v>
      </c>
      <c r="D1017" s="1">
        <v>64</v>
      </c>
      <c r="E1017" s="2" t="s">
        <v>3126</v>
      </c>
      <c r="F1017" s="3">
        <v>1</v>
      </c>
      <c r="G1017" s="33">
        <v>32874</v>
      </c>
      <c r="H1017" s="30">
        <v>44469</v>
      </c>
      <c r="I1017" s="1"/>
      <c r="J1017" s="1"/>
      <c r="K1017" s="1"/>
      <c r="L1017" s="1"/>
      <c r="M1017" s="1"/>
      <c r="P1017" s="3"/>
      <c r="R1017" s="1"/>
      <c r="S1017" s="1"/>
    </row>
    <row r="1018" spans="1:19" x14ac:dyDescent="0.65">
      <c r="A1018" s="34">
        <v>1017</v>
      </c>
      <c r="B1018" s="3" t="s">
        <v>3127</v>
      </c>
      <c r="C1018" s="1" t="s">
        <v>3128</v>
      </c>
      <c r="D1018" s="1">
        <v>64</v>
      </c>
      <c r="E1018" s="2" t="s">
        <v>3129</v>
      </c>
      <c r="F1018" s="3">
        <v>1</v>
      </c>
      <c r="G1018" s="33">
        <v>32874</v>
      </c>
      <c r="H1018" s="30">
        <v>44558</v>
      </c>
      <c r="I1018" s="1"/>
      <c r="J1018" s="1"/>
      <c r="K1018" s="1"/>
      <c r="L1018" s="1"/>
      <c r="M1018" s="1"/>
      <c r="P1018" s="3"/>
      <c r="R1018" s="1"/>
      <c r="S1018" s="1"/>
    </row>
    <row r="1019" spans="1:19" x14ac:dyDescent="0.65">
      <c r="A1019" s="34">
        <v>1018</v>
      </c>
      <c r="B1019" s="3" t="s">
        <v>3130</v>
      </c>
      <c r="C1019" s="1" t="s">
        <v>3131</v>
      </c>
      <c r="D1019" s="1">
        <v>64</v>
      </c>
      <c r="E1019" s="2" t="s">
        <v>3132</v>
      </c>
      <c r="F1019" s="3">
        <v>1</v>
      </c>
      <c r="G1019" s="33">
        <v>32874</v>
      </c>
      <c r="H1019" s="30">
        <v>44889</v>
      </c>
      <c r="I1019" s="1"/>
      <c r="J1019" s="1"/>
      <c r="K1019" s="1"/>
      <c r="L1019" s="1"/>
      <c r="M1019" s="1"/>
      <c r="P1019" s="3"/>
      <c r="R1019" s="1"/>
      <c r="S1019" s="1"/>
    </row>
    <row r="1020" spans="1:19" x14ac:dyDescent="0.65">
      <c r="A1020" s="34">
        <v>1019</v>
      </c>
      <c r="B1020" s="3" t="s">
        <v>3133</v>
      </c>
      <c r="C1020" s="1" t="s">
        <v>3134</v>
      </c>
      <c r="D1020" s="1">
        <v>69</v>
      </c>
      <c r="E1020" s="2" t="s">
        <v>3135</v>
      </c>
      <c r="F1020" s="3">
        <v>1</v>
      </c>
      <c r="G1020" s="33">
        <v>32874</v>
      </c>
      <c r="H1020" s="30">
        <v>45700.400972222225</v>
      </c>
      <c r="I1020" s="1"/>
      <c r="J1020" s="1"/>
      <c r="K1020" s="1"/>
      <c r="L1020" s="1"/>
      <c r="M1020" s="1"/>
      <c r="P1020" s="3"/>
    </row>
    <row r="1021" spans="1:19" x14ac:dyDescent="0.65">
      <c r="A1021" s="34">
        <v>1020</v>
      </c>
      <c r="B1021" s="3" t="s">
        <v>3136</v>
      </c>
      <c r="C1021" s="1" t="s">
        <v>3137</v>
      </c>
      <c r="D1021" s="1">
        <v>64</v>
      </c>
      <c r="E1021" s="2" t="s">
        <v>3138</v>
      </c>
      <c r="F1021" s="3">
        <v>1</v>
      </c>
      <c r="G1021" s="33">
        <v>32874</v>
      </c>
      <c r="H1021" s="30">
        <v>45761.611932870372</v>
      </c>
      <c r="I1021" s="1"/>
      <c r="J1021" s="1"/>
      <c r="K1021" s="1"/>
      <c r="L1021" s="1"/>
      <c r="M1021" s="1"/>
      <c r="P1021" s="3"/>
      <c r="R1021" s="1"/>
      <c r="S1021" s="1"/>
    </row>
    <row r="1022" spans="1:19" x14ac:dyDescent="0.65">
      <c r="A1022" s="34">
        <v>1021</v>
      </c>
      <c r="B1022" s="3" t="s">
        <v>3139</v>
      </c>
      <c r="C1022" s="1" t="s">
        <v>3140</v>
      </c>
      <c r="D1022" s="1">
        <v>69</v>
      </c>
      <c r="E1022" s="2" t="s">
        <v>3141</v>
      </c>
      <c r="F1022" s="3">
        <v>1</v>
      </c>
      <c r="G1022" s="33">
        <v>32874</v>
      </c>
      <c r="H1022" s="30">
        <v>44770</v>
      </c>
      <c r="I1022" s="1"/>
      <c r="J1022" s="1"/>
      <c r="K1022" s="1"/>
      <c r="L1022" s="1"/>
      <c r="M1022" s="1"/>
      <c r="P1022" s="3"/>
    </row>
    <row r="1023" spans="1:19" x14ac:dyDescent="0.65">
      <c r="A1023" s="34">
        <v>1022</v>
      </c>
      <c r="B1023" s="3" t="s">
        <v>3142</v>
      </c>
      <c r="C1023" s="1" t="s">
        <v>3143</v>
      </c>
      <c r="D1023" s="1">
        <v>64</v>
      </c>
      <c r="E1023" s="2" t="s">
        <v>3144</v>
      </c>
      <c r="F1023" s="3">
        <v>1</v>
      </c>
      <c r="G1023" s="33">
        <v>32874</v>
      </c>
      <c r="H1023" s="30">
        <v>45490</v>
      </c>
      <c r="I1023" s="1"/>
      <c r="J1023" s="1"/>
      <c r="K1023" s="1"/>
      <c r="L1023" s="1"/>
      <c r="M1023" s="1"/>
      <c r="P1023" s="3"/>
      <c r="R1023" s="1"/>
      <c r="S1023" s="1"/>
    </row>
    <row r="1024" spans="1:19" x14ac:dyDescent="0.65">
      <c r="A1024" s="34">
        <v>1023</v>
      </c>
      <c r="B1024" s="3" t="s">
        <v>3145</v>
      </c>
      <c r="C1024" s="1" t="s">
        <v>3146</v>
      </c>
      <c r="D1024" s="1">
        <v>67</v>
      </c>
      <c r="E1024" s="2" t="s">
        <v>3147</v>
      </c>
      <c r="F1024" s="3">
        <v>1</v>
      </c>
      <c r="G1024" s="33">
        <v>32874</v>
      </c>
      <c r="H1024" s="30">
        <v>45366</v>
      </c>
      <c r="I1024" s="1"/>
      <c r="J1024" s="1"/>
      <c r="K1024" s="1"/>
      <c r="L1024" s="1"/>
      <c r="M1024" s="1"/>
      <c r="P1024" s="3"/>
      <c r="R1024" s="1"/>
      <c r="S1024" s="1"/>
    </row>
    <row r="1025" spans="1:19" x14ac:dyDescent="0.65">
      <c r="A1025" s="34">
        <v>1024</v>
      </c>
      <c r="B1025" s="3" t="s">
        <v>3148</v>
      </c>
      <c r="C1025" s="1" t="s">
        <v>3149</v>
      </c>
      <c r="D1025" s="1">
        <v>64</v>
      </c>
      <c r="E1025" s="2" t="s">
        <v>3150</v>
      </c>
      <c r="F1025" s="3">
        <v>1</v>
      </c>
      <c r="G1025" s="33">
        <v>32874</v>
      </c>
      <c r="H1025" s="30">
        <v>45132</v>
      </c>
      <c r="I1025" s="1"/>
      <c r="J1025" s="1"/>
      <c r="K1025" s="1"/>
      <c r="L1025" s="1"/>
      <c r="M1025" s="1"/>
      <c r="P1025" s="3"/>
      <c r="R1025" s="1"/>
      <c r="S1025" s="1"/>
    </row>
    <row r="1026" spans="1:19" x14ac:dyDescent="0.65">
      <c r="A1026" s="34">
        <v>1025</v>
      </c>
      <c r="B1026" s="3" t="s">
        <v>3151</v>
      </c>
      <c r="C1026" s="1" t="s">
        <v>3152</v>
      </c>
      <c r="D1026" s="1">
        <v>64</v>
      </c>
      <c r="E1026" s="2" t="s">
        <v>3153</v>
      </c>
      <c r="F1026" s="3">
        <v>1</v>
      </c>
      <c r="G1026" s="33">
        <v>32874</v>
      </c>
      <c r="H1026" s="30">
        <v>45170</v>
      </c>
      <c r="I1026" s="1"/>
      <c r="J1026" s="1"/>
      <c r="K1026" s="1"/>
      <c r="L1026" s="1"/>
      <c r="M1026" s="1"/>
      <c r="P1026" s="3"/>
      <c r="R1026" s="1"/>
      <c r="S1026" s="1"/>
    </row>
    <row r="1027" spans="1:19" x14ac:dyDescent="0.65">
      <c r="A1027" s="34">
        <v>1026</v>
      </c>
      <c r="B1027" s="3" t="s">
        <v>3154</v>
      </c>
      <c r="C1027" s="1" t="s">
        <v>3155</v>
      </c>
      <c r="D1027" s="1">
        <v>64</v>
      </c>
      <c r="E1027" s="2" t="s">
        <v>3156</v>
      </c>
      <c r="F1027" s="3">
        <v>1</v>
      </c>
      <c r="G1027" s="33">
        <v>32874</v>
      </c>
      <c r="H1027" s="30">
        <v>45188</v>
      </c>
      <c r="I1027" s="1"/>
      <c r="J1027" s="1"/>
      <c r="K1027" s="1"/>
      <c r="L1027" s="1"/>
      <c r="M1027" s="1"/>
      <c r="P1027" s="3"/>
      <c r="R1027" s="1"/>
      <c r="S1027" s="1"/>
    </row>
    <row r="1028" spans="1:19" x14ac:dyDescent="0.65">
      <c r="A1028" s="34">
        <v>1027</v>
      </c>
      <c r="B1028" s="3" t="s">
        <v>3157</v>
      </c>
      <c r="C1028" s="1" t="s">
        <v>3158</v>
      </c>
      <c r="D1028" s="1">
        <v>65</v>
      </c>
      <c r="E1028" s="2" t="s">
        <v>3159</v>
      </c>
      <c r="F1028" s="3">
        <v>1</v>
      </c>
      <c r="G1028" s="33">
        <v>32874</v>
      </c>
      <c r="H1028" s="30">
        <v>45211</v>
      </c>
      <c r="I1028" s="1"/>
      <c r="J1028" s="1"/>
      <c r="K1028" s="1"/>
      <c r="L1028" s="1"/>
      <c r="M1028" s="1"/>
      <c r="P1028" s="3"/>
    </row>
    <row r="1029" spans="1:19" x14ac:dyDescent="0.65">
      <c r="A1029" s="34">
        <v>1028</v>
      </c>
      <c r="B1029" s="3" t="s">
        <v>3160</v>
      </c>
      <c r="C1029" s="1" t="s">
        <v>3161</v>
      </c>
      <c r="D1029" s="1">
        <v>69</v>
      </c>
      <c r="E1029" s="2" t="s">
        <v>3162</v>
      </c>
      <c r="F1029" s="3">
        <v>1</v>
      </c>
      <c r="G1029" s="33">
        <v>32874</v>
      </c>
      <c r="H1029" s="30">
        <v>45602</v>
      </c>
      <c r="I1029" s="1"/>
      <c r="J1029" s="1"/>
      <c r="K1029" s="1"/>
      <c r="L1029" s="1"/>
      <c r="M1029" s="1"/>
      <c r="P1029" s="3"/>
    </row>
    <row r="1030" spans="1:19" x14ac:dyDescent="0.65">
      <c r="A1030" s="34">
        <v>1029</v>
      </c>
      <c r="B1030" s="3" t="s">
        <v>3163</v>
      </c>
      <c r="C1030" s="1" t="s">
        <v>3164</v>
      </c>
      <c r="D1030" s="1">
        <v>69</v>
      </c>
      <c r="E1030" s="2" t="s">
        <v>3165</v>
      </c>
      <c r="F1030" s="3">
        <v>1</v>
      </c>
      <c r="G1030" s="33">
        <v>32874</v>
      </c>
      <c r="H1030" s="30">
        <v>45601</v>
      </c>
      <c r="I1030" s="1"/>
      <c r="J1030" s="1"/>
      <c r="K1030" s="1"/>
      <c r="L1030" s="1"/>
      <c r="M1030" s="1"/>
      <c r="P1030" s="3"/>
    </row>
    <row r="1031" spans="1:19" x14ac:dyDescent="0.65">
      <c r="A1031" s="34">
        <v>1030</v>
      </c>
      <c r="B1031" s="3" t="s">
        <v>3166</v>
      </c>
      <c r="C1031" s="1" t="s">
        <v>3167</v>
      </c>
      <c r="D1031" s="1">
        <v>64</v>
      </c>
      <c r="E1031" s="2" t="s">
        <v>3168</v>
      </c>
      <c r="F1031" s="3">
        <v>1</v>
      </c>
      <c r="G1031" s="33">
        <v>32874</v>
      </c>
      <c r="H1031" s="30">
        <v>45748.373229166667</v>
      </c>
      <c r="I1031" s="1"/>
      <c r="J1031" s="1"/>
      <c r="K1031" s="1"/>
      <c r="L1031" s="1"/>
      <c r="M1031" s="1"/>
      <c r="P1031" s="3"/>
      <c r="R1031" s="1"/>
      <c r="S1031" s="1"/>
    </row>
    <row r="1032" spans="1:19" x14ac:dyDescent="0.65">
      <c r="A1032" s="34">
        <v>1031</v>
      </c>
      <c r="B1032" s="3" t="s">
        <v>3169</v>
      </c>
      <c r="C1032" s="1" t="s">
        <v>3170</v>
      </c>
      <c r="D1032" s="1">
        <v>64</v>
      </c>
      <c r="E1032" s="2" t="s">
        <v>3171</v>
      </c>
      <c r="F1032" s="3">
        <v>1</v>
      </c>
      <c r="G1032" s="33">
        <v>32874</v>
      </c>
      <c r="H1032" s="30">
        <v>45383</v>
      </c>
      <c r="I1032" s="1"/>
      <c r="J1032" s="1"/>
      <c r="K1032" s="1"/>
      <c r="L1032" s="1"/>
      <c r="M1032" s="1"/>
      <c r="P1032" s="3"/>
      <c r="R1032" s="1"/>
      <c r="S1032" s="1"/>
    </row>
    <row r="1033" spans="1:19" x14ac:dyDescent="0.65">
      <c r="A1033" s="34">
        <v>1032</v>
      </c>
      <c r="B1033" s="3" t="s">
        <v>3172</v>
      </c>
      <c r="C1033" s="1" t="s">
        <v>3173</v>
      </c>
      <c r="D1033" s="1">
        <v>70</v>
      </c>
      <c r="E1033" s="2" t="s">
        <v>3174</v>
      </c>
      <c r="F1033" s="3">
        <v>1</v>
      </c>
      <c r="G1033" s="33">
        <v>32874</v>
      </c>
      <c r="H1033" s="30">
        <v>45505</v>
      </c>
      <c r="I1033" s="1"/>
      <c r="J1033" s="1"/>
      <c r="K1033" s="1"/>
      <c r="L1033" s="1"/>
      <c r="M1033" s="1"/>
      <c r="P1033" s="3"/>
      <c r="R1033" s="1"/>
      <c r="S1033" s="1"/>
    </row>
    <row r="1034" spans="1:19" x14ac:dyDescent="0.65">
      <c r="A1034" s="34">
        <v>1033</v>
      </c>
      <c r="B1034" s="3" t="s">
        <v>3175</v>
      </c>
      <c r="C1034" s="1" t="s">
        <v>3116</v>
      </c>
      <c r="D1034" s="1">
        <v>70</v>
      </c>
      <c r="E1034" s="2" t="s">
        <v>3176</v>
      </c>
      <c r="F1034" s="3">
        <v>1</v>
      </c>
      <c r="G1034" s="33">
        <v>32874</v>
      </c>
      <c r="H1034" s="30">
        <v>45505</v>
      </c>
      <c r="I1034" s="1"/>
      <c r="J1034" s="1"/>
      <c r="K1034" s="1"/>
      <c r="L1034" s="1"/>
      <c r="M1034" s="1"/>
      <c r="P1034" s="3"/>
      <c r="R1034" s="1"/>
      <c r="S1034" s="1"/>
    </row>
    <row r="1035" spans="1:19" x14ac:dyDescent="0.65">
      <c r="A1035" s="34">
        <v>1034</v>
      </c>
      <c r="B1035" s="3" t="s">
        <v>3177</v>
      </c>
      <c r="C1035" s="1" t="s">
        <v>3178</v>
      </c>
      <c r="D1035" s="1">
        <v>64</v>
      </c>
      <c r="E1035" s="2" t="s">
        <v>3179</v>
      </c>
      <c r="F1035" s="3">
        <v>1</v>
      </c>
      <c r="G1035" s="33">
        <v>32874</v>
      </c>
      <c r="H1035" s="30">
        <v>45544</v>
      </c>
      <c r="I1035" s="1"/>
      <c r="J1035" s="1"/>
      <c r="K1035" s="1"/>
      <c r="L1035" s="1"/>
      <c r="M1035" s="1"/>
      <c r="P1035" s="3"/>
      <c r="R1035" s="1"/>
      <c r="S1035" s="1"/>
    </row>
    <row r="1036" spans="1:19" x14ac:dyDescent="0.65">
      <c r="A1036" s="34">
        <v>1035</v>
      </c>
      <c r="B1036" s="3" t="s">
        <v>3180</v>
      </c>
      <c r="C1036" s="1" t="s">
        <v>3181</v>
      </c>
      <c r="D1036" s="1">
        <v>70</v>
      </c>
      <c r="E1036" s="2" t="s">
        <v>3182</v>
      </c>
      <c r="F1036" s="3">
        <v>1</v>
      </c>
      <c r="G1036" s="33">
        <v>32874</v>
      </c>
      <c r="H1036" s="30">
        <v>45597</v>
      </c>
      <c r="I1036" s="1"/>
      <c r="J1036" s="1"/>
      <c r="K1036" s="1"/>
      <c r="L1036" s="1"/>
      <c r="M1036" s="1"/>
      <c r="P1036" s="3"/>
      <c r="R1036" s="1"/>
      <c r="S1036" s="1"/>
    </row>
    <row r="1037" spans="1:19" x14ac:dyDescent="0.65">
      <c r="A1037" s="34">
        <v>1036</v>
      </c>
      <c r="B1037" s="3" t="s">
        <v>3183</v>
      </c>
      <c r="C1037" s="1" t="s">
        <v>3184</v>
      </c>
      <c r="D1037" s="1">
        <v>64</v>
      </c>
      <c r="E1037" s="2" t="s">
        <v>3185</v>
      </c>
      <c r="F1037" s="3">
        <v>1</v>
      </c>
      <c r="G1037" s="33">
        <v>32874</v>
      </c>
      <c r="H1037" s="30">
        <v>45671.421215277776</v>
      </c>
      <c r="I1037" s="1"/>
      <c r="J1037" s="1"/>
      <c r="K1037" s="1"/>
      <c r="L1037" s="1"/>
      <c r="M1037" s="1"/>
      <c r="P1037" s="3"/>
      <c r="R1037" s="1"/>
      <c r="S1037" s="1"/>
    </row>
    <row r="1038" spans="1:19" x14ac:dyDescent="0.65">
      <c r="A1038" s="34">
        <v>1037</v>
      </c>
      <c r="B1038" s="3" t="s">
        <v>3186</v>
      </c>
      <c r="C1038" s="1" t="s">
        <v>3187</v>
      </c>
      <c r="D1038" s="1">
        <v>70</v>
      </c>
      <c r="E1038" s="2" t="s">
        <v>3188</v>
      </c>
      <c r="F1038" s="3">
        <v>1</v>
      </c>
      <c r="G1038" s="33">
        <v>32874</v>
      </c>
      <c r="H1038" s="30">
        <v>45896.444791666669</v>
      </c>
      <c r="I1038" s="1"/>
      <c r="J1038" s="1"/>
      <c r="K1038" s="1"/>
      <c r="L1038" s="1"/>
      <c r="M1038" s="1"/>
      <c r="P1038" s="3"/>
      <c r="R1038" s="1"/>
      <c r="S1038" s="1"/>
    </row>
    <row r="1039" spans="1:19" x14ac:dyDescent="0.65">
      <c r="A1039" s="34">
        <v>1038</v>
      </c>
      <c r="B1039" s="3" t="s">
        <v>3189</v>
      </c>
      <c r="C1039" s="1" t="s">
        <v>3190</v>
      </c>
      <c r="D1039" s="1">
        <v>65</v>
      </c>
      <c r="E1039" s="2" t="s">
        <v>3191</v>
      </c>
      <c r="F1039" s="3">
        <v>1</v>
      </c>
      <c r="G1039" s="33">
        <v>32874</v>
      </c>
      <c r="H1039" s="30">
        <v>45706.544456018521</v>
      </c>
      <c r="I1039" s="1"/>
      <c r="J1039" s="1"/>
      <c r="K1039" s="1"/>
      <c r="L1039" s="1"/>
      <c r="M1039" s="1"/>
      <c r="P1039" s="3"/>
      <c r="R1039" s="1"/>
      <c r="S1039" s="1"/>
    </row>
    <row r="1040" spans="1:19" x14ac:dyDescent="0.65">
      <c r="A1040" s="34">
        <v>1039</v>
      </c>
      <c r="B1040" s="3" t="s">
        <v>3192</v>
      </c>
      <c r="C1040" s="1" t="s">
        <v>3193</v>
      </c>
      <c r="D1040" s="1">
        <v>71</v>
      </c>
      <c r="E1040" s="2" t="s">
        <v>3194</v>
      </c>
      <c r="F1040" s="3">
        <v>1</v>
      </c>
      <c r="G1040" s="33">
        <v>32874</v>
      </c>
      <c r="H1040" s="30">
        <v>45930.433078703703</v>
      </c>
      <c r="I1040" s="1"/>
      <c r="J1040" s="1"/>
      <c r="K1040" s="1"/>
      <c r="L1040" s="1"/>
      <c r="M1040" s="1"/>
      <c r="P1040" s="3"/>
    </row>
    <row r="1041" spans="1:17" x14ac:dyDescent="0.65">
      <c r="A1041" s="34">
        <v>1040</v>
      </c>
      <c r="B1041" s="3" t="s">
        <v>3196</v>
      </c>
      <c r="C1041" s="1" t="s">
        <v>3197</v>
      </c>
      <c r="D1041" s="1">
        <v>71</v>
      </c>
      <c r="E1041" s="2" t="s">
        <v>3198</v>
      </c>
      <c r="F1041" s="3">
        <v>1</v>
      </c>
      <c r="G1041" s="33">
        <v>32874</v>
      </c>
      <c r="H1041" s="30">
        <v>45170</v>
      </c>
      <c r="I1041" s="1"/>
      <c r="J1041" s="1"/>
      <c r="K1041" s="1"/>
      <c r="L1041" s="1"/>
      <c r="M1041" s="1"/>
      <c r="P1041" s="3"/>
    </row>
    <row r="1042" spans="1:17" x14ac:dyDescent="0.65">
      <c r="A1042" s="34">
        <v>1041</v>
      </c>
      <c r="B1042" s="3" t="s">
        <v>3199</v>
      </c>
      <c r="C1042" s="1" t="s">
        <v>3200</v>
      </c>
      <c r="D1042" s="1">
        <v>71</v>
      </c>
      <c r="E1042" s="2" t="s">
        <v>3201</v>
      </c>
      <c r="F1042" s="3">
        <v>1</v>
      </c>
      <c r="G1042" s="33">
        <v>32874</v>
      </c>
      <c r="H1042" s="30">
        <v>45938.538807870369</v>
      </c>
      <c r="I1042" s="1"/>
      <c r="J1042" s="1"/>
      <c r="K1042" s="1"/>
      <c r="L1042" s="1"/>
      <c r="M1042" s="1"/>
      <c r="P1042" s="3"/>
    </row>
    <row r="1043" spans="1:17" x14ac:dyDescent="0.65">
      <c r="A1043" s="34">
        <v>1042</v>
      </c>
      <c r="B1043" s="3" t="s">
        <v>3202</v>
      </c>
      <c r="C1043" s="1" t="s">
        <v>3203</v>
      </c>
      <c r="D1043" s="1">
        <v>71</v>
      </c>
      <c r="E1043" s="2" t="s">
        <v>3204</v>
      </c>
      <c r="F1043" s="3">
        <v>1</v>
      </c>
      <c r="G1043" s="33">
        <v>32874</v>
      </c>
      <c r="H1043" s="30">
        <v>43824</v>
      </c>
      <c r="I1043" s="1"/>
      <c r="J1043" s="1"/>
      <c r="K1043" s="1"/>
      <c r="L1043" s="1"/>
      <c r="M1043" s="1"/>
      <c r="P1043" s="3"/>
    </row>
    <row r="1044" spans="1:17" x14ac:dyDescent="0.65">
      <c r="A1044" s="34">
        <v>1043</v>
      </c>
      <c r="B1044" s="3" t="s">
        <v>3205</v>
      </c>
      <c r="C1044" s="1" t="s">
        <v>3206</v>
      </c>
      <c r="D1044" s="1">
        <v>71</v>
      </c>
      <c r="E1044" s="2" t="s">
        <v>3207</v>
      </c>
      <c r="F1044" s="3">
        <v>1</v>
      </c>
      <c r="G1044" s="33">
        <v>32874</v>
      </c>
      <c r="H1044" s="30">
        <v>45716.676238425927</v>
      </c>
      <c r="I1044" s="1"/>
      <c r="J1044" s="1"/>
      <c r="K1044" s="1"/>
      <c r="L1044" s="1"/>
      <c r="M1044" s="1"/>
      <c r="P1044" s="3"/>
    </row>
    <row r="1045" spans="1:17" x14ac:dyDescent="0.65">
      <c r="A1045" s="34">
        <v>1044</v>
      </c>
      <c r="B1045" s="3" t="s">
        <v>3208</v>
      </c>
      <c r="C1045" s="1" t="s">
        <v>3209</v>
      </c>
      <c r="D1045" s="1">
        <v>71</v>
      </c>
      <c r="E1045" s="2" t="s">
        <v>3210</v>
      </c>
      <c r="F1045" s="3">
        <v>1</v>
      </c>
      <c r="G1045" s="33">
        <v>32874</v>
      </c>
      <c r="H1045" s="30">
        <v>45174</v>
      </c>
      <c r="I1045" s="1"/>
      <c r="J1045" s="1"/>
      <c r="K1045" s="1"/>
      <c r="L1045" s="1"/>
      <c r="M1045" s="1"/>
      <c r="P1045" s="3"/>
    </row>
    <row r="1046" spans="1:17" x14ac:dyDescent="0.65">
      <c r="A1046" s="34">
        <v>1045</v>
      </c>
      <c r="B1046" s="3" t="s">
        <v>3211</v>
      </c>
      <c r="C1046" s="1" t="s">
        <v>3212</v>
      </c>
      <c r="D1046" s="1">
        <v>71</v>
      </c>
      <c r="E1046" s="2" t="s">
        <v>3213</v>
      </c>
      <c r="F1046" s="3">
        <v>1</v>
      </c>
      <c r="G1046" s="33">
        <v>32874</v>
      </c>
      <c r="H1046" s="30">
        <v>45933.530081018522</v>
      </c>
      <c r="I1046" s="1"/>
      <c r="J1046" s="1"/>
      <c r="K1046" s="1"/>
      <c r="L1046" s="1"/>
      <c r="M1046" s="1"/>
      <c r="P1046" s="3"/>
    </row>
    <row r="1047" spans="1:17" x14ac:dyDescent="0.65">
      <c r="A1047" s="34">
        <v>1046</v>
      </c>
      <c r="B1047" s="3" t="s">
        <v>3214</v>
      </c>
      <c r="C1047" s="1" t="s">
        <v>3215</v>
      </c>
      <c r="D1047" s="1">
        <v>71</v>
      </c>
      <c r="E1047" s="2" t="s">
        <v>3216</v>
      </c>
      <c r="F1047" s="3">
        <v>1</v>
      </c>
      <c r="G1047" s="33">
        <v>32874</v>
      </c>
      <c r="H1047" s="30">
        <v>44526</v>
      </c>
      <c r="I1047" s="1"/>
      <c r="J1047" s="1"/>
      <c r="K1047" s="1"/>
      <c r="L1047" s="1"/>
      <c r="M1047" s="1"/>
      <c r="P1047" s="3"/>
    </row>
    <row r="1048" spans="1:17" x14ac:dyDescent="0.65">
      <c r="A1048" s="34">
        <v>1047</v>
      </c>
      <c r="B1048" s="3" t="s">
        <v>3217</v>
      </c>
      <c r="C1048" s="1" t="s">
        <v>3218</v>
      </c>
      <c r="D1048" s="1">
        <v>71</v>
      </c>
      <c r="E1048" s="2" t="s">
        <v>3219</v>
      </c>
      <c r="F1048" s="3">
        <v>1</v>
      </c>
      <c r="G1048" s="33">
        <v>32874</v>
      </c>
      <c r="H1048" s="30">
        <v>45903.548194444447</v>
      </c>
      <c r="I1048" s="1"/>
      <c r="J1048" s="1"/>
      <c r="K1048" s="1"/>
      <c r="L1048" s="1"/>
      <c r="M1048" s="1"/>
      <c r="P1048" s="3"/>
    </row>
    <row r="1049" spans="1:17" x14ac:dyDescent="0.65">
      <c r="A1049" s="34">
        <v>1048</v>
      </c>
      <c r="B1049" s="3" t="s">
        <v>3220</v>
      </c>
      <c r="C1049" s="1" t="s">
        <v>3221</v>
      </c>
      <c r="D1049" s="1">
        <v>71</v>
      </c>
      <c r="E1049" s="2" t="s">
        <v>3222</v>
      </c>
      <c r="F1049" s="3">
        <v>1</v>
      </c>
      <c r="G1049" s="33">
        <v>32874</v>
      </c>
      <c r="H1049" s="30">
        <v>45013</v>
      </c>
      <c r="I1049" s="1"/>
      <c r="J1049" s="1"/>
      <c r="K1049" s="1"/>
      <c r="L1049" s="1"/>
      <c r="M1049" s="1"/>
      <c r="P1049" s="3"/>
    </row>
    <row r="1050" spans="1:17" x14ac:dyDescent="0.65">
      <c r="A1050" s="34">
        <v>1049</v>
      </c>
      <c r="B1050" s="3" t="s">
        <v>3223</v>
      </c>
      <c r="C1050" s="1" t="s">
        <v>3224</v>
      </c>
      <c r="D1050" s="1">
        <v>71</v>
      </c>
      <c r="E1050" s="2" t="s">
        <v>3225</v>
      </c>
      <c r="F1050" s="3">
        <v>1</v>
      </c>
      <c r="G1050" s="33">
        <v>32874</v>
      </c>
      <c r="H1050" s="30">
        <v>44551</v>
      </c>
      <c r="I1050" s="1"/>
      <c r="J1050" s="1"/>
      <c r="K1050" s="1"/>
      <c r="L1050" s="1"/>
      <c r="M1050" s="1"/>
      <c r="P1050" s="3"/>
    </row>
    <row r="1051" spans="1:17" x14ac:dyDescent="0.65">
      <c r="A1051" s="34">
        <v>1050</v>
      </c>
      <c r="B1051" s="3" t="s">
        <v>3226</v>
      </c>
      <c r="C1051" s="1" t="s">
        <v>3227</v>
      </c>
      <c r="D1051" s="1">
        <v>71</v>
      </c>
      <c r="E1051" s="2" t="s">
        <v>3228</v>
      </c>
      <c r="F1051" s="3">
        <v>1</v>
      </c>
      <c r="G1051" s="33">
        <v>32874</v>
      </c>
      <c r="H1051" s="30">
        <v>43804</v>
      </c>
      <c r="I1051" s="1"/>
      <c r="J1051" s="1"/>
      <c r="K1051" s="1"/>
      <c r="L1051" s="1"/>
      <c r="M1051" s="1"/>
      <c r="P1051" s="3"/>
    </row>
    <row r="1052" spans="1:17" x14ac:dyDescent="0.65">
      <c r="A1052" s="34">
        <v>1051</v>
      </c>
      <c r="B1052" s="3" t="s">
        <v>3229</v>
      </c>
      <c r="C1052" s="1" t="s">
        <v>3230</v>
      </c>
      <c r="D1052" s="1">
        <v>71</v>
      </c>
      <c r="E1052" s="2" t="s">
        <v>3231</v>
      </c>
      <c r="F1052" s="3">
        <v>1</v>
      </c>
      <c r="G1052" s="33">
        <v>32874</v>
      </c>
      <c r="H1052" s="30">
        <v>45323</v>
      </c>
      <c r="I1052" s="1"/>
      <c r="J1052" s="1"/>
      <c r="K1052" s="1"/>
      <c r="L1052" s="1"/>
      <c r="M1052" s="1"/>
      <c r="P1052" s="3"/>
    </row>
    <row r="1053" spans="1:17" x14ac:dyDescent="0.65">
      <c r="A1053" s="34">
        <v>1052</v>
      </c>
      <c r="B1053" s="3" t="s">
        <v>3232</v>
      </c>
      <c r="C1053" s="1" t="s">
        <v>3233</v>
      </c>
      <c r="D1053" s="1">
        <v>71</v>
      </c>
      <c r="E1053" s="2" t="s">
        <v>3234</v>
      </c>
      <c r="F1053" s="3">
        <v>1</v>
      </c>
      <c r="G1053" s="33">
        <v>32874</v>
      </c>
      <c r="H1053" s="30">
        <v>44526</v>
      </c>
      <c r="I1053" s="1"/>
      <c r="J1053" s="1"/>
      <c r="K1053" s="1"/>
      <c r="L1053" s="1"/>
      <c r="M1053" s="1"/>
      <c r="P1053" s="3"/>
    </row>
    <row r="1054" spans="1:17" x14ac:dyDescent="0.65">
      <c r="A1054" s="34">
        <v>1053</v>
      </c>
      <c r="B1054" s="3" t="s">
        <v>3235</v>
      </c>
      <c r="C1054" s="1" t="s">
        <v>3236</v>
      </c>
      <c r="D1054" s="1">
        <v>72</v>
      </c>
      <c r="E1054" s="2" t="s">
        <v>3237</v>
      </c>
      <c r="F1054" s="3">
        <v>1</v>
      </c>
      <c r="G1054" s="33">
        <v>32874</v>
      </c>
      <c r="H1054" s="30">
        <v>45589</v>
      </c>
      <c r="I1054" s="1"/>
      <c r="J1054" s="1"/>
      <c r="K1054" s="1"/>
      <c r="L1054" s="1"/>
      <c r="M1054" s="1"/>
      <c r="P1054" s="3"/>
      <c r="Q1054" s="3"/>
    </row>
    <row r="1055" spans="1:17" x14ac:dyDescent="0.65">
      <c r="A1055" s="34">
        <v>1054</v>
      </c>
      <c r="B1055" s="3" t="s">
        <v>3238</v>
      </c>
      <c r="C1055" s="1" t="s">
        <v>3239</v>
      </c>
      <c r="D1055" s="1">
        <v>72</v>
      </c>
      <c r="E1055" s="2" t="s">
        <v>3240</v>
      </c>
      <c r="F1055" s="3">
        <v>1</v>
      </c>
      <c r="G1055" s="33">
        <v>32874</v>
      </c>
      <c r="H1055" s="30">
        <v>45581</v>
      </c>
      <c r="I1055" s="1"/>
      <c r="J1055" s="1"/>
      <c r="K1055" s="1"/>
      <c r="L1055" s="1"/>
      <c r="M1055" s="1"/>
      <c r="P1055" s="3"/>
      <c r="Q1055" s="3"/>
    </row>
    <row r="1056" spans="1:17" x14ac:dyDescent="0.65">
      <c r="A1056" s="34">
        <v>1055</v>
      </c>
      <c r="B1056" s="3" t="s">
        <v>3241</v>
      </c>
      <c r="C1056" s="1" t="s">
        <v>3242</v>
      </c>
      <c r="D1056" s="1">
        <v>72</v>
      </c>
      <c r="E1056" s="2" t="s">
        <v>3243</v>
      </c>
      <c r="F1056" s="3">
        <v>1</v>
      </c>
      <c r="G1056" s="33">
        <v>32874</v>
      </c>
      <c r="H1056" s="30">
        <v>45749.694907407407</v>
      </c>
      <c r="I1056" s="1"/>
      <c r="J1056" s="1"/>
      <c r="K1056" s="1"/>
      <c r="L1056" s="1"/>
      <c r="M1056" s="1"/>
      <c r="P1056" s="3"/>
      <c r="Q1056" s="3"/>
    </row>
    <row r="1057" spans="1:17" x14ac:dyDescent="0.65">
      <c r="A1057" s="34">
        <v>1056</v>
      </c>
      <c r="B1057" s="3" t="s">
        <v>3244</v>
      </c>
      <c r="C1057" s="1" t="s">
        <v>3245</v>
      </c>
      <c r="D1057" s="1">
        <v>72</v>
      </c>
      <c r="E1057" s="2" t="s">
        <v>3246</v>
      </c>
      <c r="F1057" s="3">
        <v>1</v>
      </c>
      <c r="G1057" s="33">
        <v>32874</v>
      </c>
      <c r="H1057" s="30">
        <v>45742.743136574078</v>
      </c>
      <c r="I1057" s="1"/>
      <c r="J1057" s="1"/>
      <c r="K1057" s="1"/>
      <c r="L1057" s="1"/>
      <c r="M1057" s="1"/>
      <c r="P1057" s="3"/>
      <c r="Q1057" s="3"/>
    </row>
    <row r="1058" spans="1:17" x14ac:dyDescent="0.65">
      <c r="A1058" s="34">
        <v>1057</v>
      </c>
      <c r="B1058" s="3" t="s">
        <v>3247</v>
      </c>
      <c r="C1058" s="1" t="s">
        <v>3248</v>
      </c>
      <c r="D1058" s="1">
        <v>72</v>
      </c>
      <c r="E1058" s="2" t="s">
        <v>3249</v>
      </c>
      <c r="F1058" s="3">
        <v>1</v>
      </c>
      <c r="G1058" s="33">
        <v>32874</v>
      </c>
      <c r="H1058" s="30">
        <v>45742.468368055554</v>
      </c>
      <c r="I1058" s="1"/>
      <c r="J1058" s="1"/>
      <c r="K1058" s="1"/>
      <c r="L1058" s="1"/>
      <c r="M1058" s="1"/>
      <c r="P1058" s="3"/>
      <c r="Q1058" s="3"/>
    </row>
    <row r="1059" spans="1:17" x14ac:dyDescent="0.65">
      <c r="A1059" s="34">
        <v>1058</v>
      </c>
      <c r="B1059" s="3" t="s">
        <v>3250</v>
      </c>
      <c r="C1059" s="1" t="s">
        <v>3251</v>
      </c>
      <c r="D1059" s="1">
        <v>72</v>
      </c>
      <c r="E1059" s="2" t="s">
        <v>3252</v>
      </c>
      <c r="F1059" s="3">
        <v>1</v>
      </c>
      <c r="G1059" s="33">
        <v>32874</v>
      </c>
      <c r="H1059" s="30">
        <v>45747.374699074076</v>
      </c>
      <c r="I1059" s="1"/>
      <c r="J1059" s="1"/>
      <c r="K1059" s="1"/>
      <c r="L1059" s="1"/>
      <c r="M1059" s="1"/>
      <c r="P1059" s="3"/>
      <c r="Q1059" s="3"/>
    </row>
    <row r="1060" spans="1:17" x14ac:dyDescent="0.65">
      <c r="A1060" s="34">
        <v>1059</v>
      </c>
      <c r="B1060" s="3" t="s">
        <v>3253</v>
      </c>
      <c r="C1060" s="1" t="s">
        <v>3254</v>
      </c>
      <c r="D1060" s="1">
        <v>72</v>
      </c>
      <c r="E1060" s="2" t="s">
        <v>3255</v>
      </c>
      <c r="F1060" s="3">
        <v>1</v>
      </c>
      <c r="G1060" s="33">
        <v>32874</v>
      </c>
      <c r="H1060" s="30">
        <v>45743.714548611111</v>
      </c>
      <c r="I1060" s="1"/>
      <c r="J1060" s="1"/>
      <c r="K1060" s="1"/>
      <c r="L1060" s="1"/>
      <c r="M1060" s="1"/>
      <c r="P1060" s="3"/>
      <c r="Q1060" s="3"/>
    </row>
    <row r="1061" spans="1:17" x14ac:dyDescent="0.65">
      <c r="A1061" s="34">
        <v>1060</v>
      </c>
      <c r="B1061" s="3" t="s">
        <v>3256</v>
      </c>
      <c r="C1061" s="1" t="s">
        <v>3257</v>
      </c>
      <c r="D1061" s="1">
        <v>72</v>
      </c>
      <c r="E1061" s="2" t="s">
        <v>3258</v>
      </c>
      <c r="F1061" s="3">
        <v>1</v>
      </c>
      <c r="G1061" s="33">
        <v>32874</v>
      </c>
      <c r="H1061" s="30">
        <v>45742.587164351855</v>
      </c>
      <c r="I1061" s="1"/>
      <c r="J1061" s="1"/>
      <c r="K1061" s="1"/>
      <c r="L1061" s="1"/>
      <c r="M1061" s="1"/>
      <c r="P1061" s="3"/>
      <c r="Q1061" s="3"/>
    </row>
    <row r="1062" spans="1:17" x14ac:dyDescent="0.65">
      <c r="A1062" s="34">
        <v>1061</v>
      </c>
      <c r="B1062" s="3" t="s">
        <v>3259</v>
      </c>
      <c r="C1062" s="1" t="s">
        <v>3260</v>
      </c>
      <c r="D1062" s="1">
        <v>72</v>
      </c>
      <c r="E1062" s="2" t="s">
        <v>3261</v>
      </c>
      <c r="F1062" s="3">
        <v>1</v>
      </c>
      <c r="G1062" s="33">
        <v>32874</v>
      </c>
      <c r="H1062" s="30">
        <v>45569</v>
      </c>
      <c r="I1062" s="1"/>
      <c r="J1062" s="1"/>
      <c r="K1062" s="1"/>
      <c r="L1062" s="1"/>
      <c r="M1062" s="1"/>
      <c r="P1062" s="3"/>
      <c r="Q1062" s="3"/>
    </row>
    <row r="1063" spans="1:17" x14ac:dyDescent="0.65">
      <c r="A1063" s="34">
        <v>1062</v>
      </c>
      <c r="B1063" s="3" t="s">
        <v>3262</v>
      </c>
      <c r="C1063" s="1" t="s">
        <v>2127</v>
      </c>
      <c r="D1063" s="1">
        <v>72</v>
      </c>
      <c r="E1063" s="2" t="s">
        <v>3263</v>
      </c>
      <c r="F1063" s="3">
        <v>1</v>
      </c>
      <c r="G1063" s="33">
        <v>32874</v>
      </c>
      <c r="H1063" s="30">
        <v>45748.749965277777</v>
      </c>
      <c r="I1063" s="1"/>
      <c r="J1063" s="1"/>
      <c r="K1063" s="1"/>
      <c r="L1063" s="1"/>
      <c r="M1063" s="1"/>
      <c r="P1063" s="3"/>
      <c r="Q1063" s="3"/>
    </row>
    <row r="1064" spans="1:17" x14ac:dyDescent="0.65">
      <c r="A1064" s="34">
        <v>1063</v>
      </c>
      <c r="B1064" s="3" t="s">
        <v>3264</v>
      </c>
      <c r="C1064" s="1" t="s">
        <v>3158</v>
      </c>
      <c r="D1064" s="1">
        <v>72</v>
      </c>
      <c r="E1064" s="2" t="s">
        <v>3265</v>
      </c>
      <c r="F1064" s="3">
        <v>1</v>
      </c>
      <c r="G1064" s="33">
        <v>32874</v>
      </c>
      <c r="H1064" s="30">
        <v>45559</v>
      </c>
      <c r="I1064" s="1"/>
      <c r="J1064" s="1"/>
      <c r="K1064" s="1"/>
      <c r="L1064" s="1"/>
      <c r="M1064" s="1"/>
      <c r="P1064" s="3"/>
      <c r="Q1064" s="3"/>
    </row>
    <row r="1065" spans="1:17" x14ac:dyDescent="0.65">
      <c r="A1065" s="34">
        <v>1064</v>
      </c>
      <c r="B1065" s="3" t="s">
        <v>3266</v>
      </c>
      <c r="C1065" s="1" t="s">
        <v>3267</v>
      </c>
      <c r="D1065" s="1">
        <v>72</v>
      </c>
      <c r="E1065" s="2" t="s">
        <v>3268</v>
      </c>
      <c r="F1065" s="3">
        <v>1</v>
      </c>
      <c r="G1065" s="33">
        <v>32874</v>
      </c>
      <c r="H1065" s="30">
        <v>45891.3440625</v>
      </c>
      <c r="I1065" s="1"/>
      <c r="J1065" s="1"/>
      <c r="K1065" s="1"/>
      <c r="L1065" s="1"/>
      <c r="M1065" s="1"/>
      <c r="P1065" s="3"/>
      <c r="Q1065" s="3"/>
    </row>
    <row r="1066" spans="1:17" x14ac:dyDescent="0.65">
      <c r="A1066" s="34">
        <v>1065</v>
      </c>
      <c r="B1066" s="3" t="s">
        <v>3269</v>
      </c>
      <c r="C1066" s="1" t="s">
        <v>3270</v>
      </c>
      <c r="D1066" s="1">
        <v>72</v>
      </c>
      <c r="E1066" s="2" t="s">
        <v>3271</v>
      </c>
      <c r="F1066" s="3">
        <v>1</v>
      </c>
      <c r="G1066" s="33">
        <v>32874</v>
      </c>
      <c r="H1066" s="30">
        <v>45677.39403935185</v>
      </c>
      <c r="I1066" s="1"/>
      <c r="J1066" s="1"/>
      <c r="K1066" s="1"/>
      <c r="L1066" s="1"/>
      <c r="M1066" s="1"/>
      <c r="P1066" s="3"/>
      <c r="Q1066" s="3"/>
    </row>
    <row r="1067" spans="1:17" x14ac:dyDescent="0.65">
      <c r="A1067" s="34">
        <v>1066</v>
      </c>
      <c r="B1067" s="3" t="s">
        <v>3272</v>
      </c>
      <c r="C1067" s="1" t="s">
        <v>2178</v>
      </c>
      <c r="D1067" s="1">
        <v>72</v>
      </c>
      <c r="E1067" s="2" t="s">
        <v>3273</v>
      </c>
      <c r="F1067" s="3">
        <v>1</v>
      </c>
      <c r="G1067" s="33">
        <v>32874</v>
      </c>
      <c r="H1067" s="30">
        <v>45698.648217592592</v>
      </c>
      <c r="I1067" s="1"/>
      <c r="J1067" s="1"/>
      <c r="K1067" s="1"/>
      <c r="L1067" s="1"/>
      <c r="M1067" s="1"/>
      <c r="P1067" s="3"/>
      <c r="Q1067" s="3"/>
    </row>
    <row r="1068" spans="1:17" x14ac:dyDescent="0.65">
      <c r="A1068" s="34">
        <v>1067</v>
      </c>
      <c r="B1068" s="3" t="s">
        <v>3274</v>
      </c>
      <c r="C1068" s="1" t="s">
        <v>3275</v>
      </c>
      <c r="D1068" s="1">
        <v>72</v>
      </c>
      <c r="E1068" s="2" t="s">
        <v>3276</v>
      </c>
      <c r="F1068" s="3">
        <v>1</v>
      </c>
      <c r="G1068" s="33">
        <v>32874</v>
      </c>
      <c r="H1068" s="30">
        <v>45583</v>
      </c>
      <c r="I1068" s="1"/>
      <c r="J1068" s="1"/>
      <c r="K1068" s="1"/>
      <c r="L1068" s="1"/>
      <c r="M1068" s="1"/>
      <c r="P1068" s="3"/>
      <c r="Q1068" s="3"/>
    </row>
    <row r="1069" spans="1:17" x14ac:dyDescent="0.65">
      <c r="A1069" s="34">
        <v>1068</v>
      </c>
      <c r="B1069" s="3" t="s">
        <v>3277</v>
      </c>
      <c r="C1069" s="1" t="s">
        <v>3278</v>
      </c>
      <c r="D1069" s="1">
        <v>72</v>
      </c>
      <c r="E1069" s="2" t="s">
        <v>3279</v>
      </c>
      <c r="F1069" s="3">
        <v>1</v>
      </c>
      <c r="G1069" s="33">
        <v>32874</v>
      </c>
      <c r="H1069" s="30">
        <v>44022</v>
      </c>
      <c r="I1069" s="1"/>
      <c r="J1069" s="1"/>
      <c r="K1069" s="1"/>
      <c r="L1069" s="1"/>
      <c r="M1069" s="1"/>
      <c r="P1069" s="3"/>
      <c r="Q1069" s="3"/>
    </row>
    <row r="1070" spans="1:17" x14ac:dyDescent="0.65">
      <c r="A1070" s="34">
        <v>1069</v>
      </c>
      <c r="B1070" s="3" t="s">
        <v>3280</v>
      </c>
      <c r="C1070" s="1" t="s">
        <v>2172</v>
      </c>
      <c r="D1070" s="1">
        <v>72</v>
      </c>
      <c r="E1070" s="2" t="s">
        <v>3281</v>
      </c>
      <c r="F1070" s="3">
        <v>1</v>
      </c>
      <c r="G1070" s="33">
        <v>32874</v>
      </c>
      <c r="H1070" s="30">
        <v>45597</v>
      </c>
      <c r="I1070" s="1"/>
      <c r="J1070" s="1"/>
      <c r="K1070" s="1"/>
      <c r="L1070" s="1"/>
      <c r="M1070" s="1"/>
      <c r="P1070" s="3"/>
    </row>
    <row r="1071" spans="1:17" x14ac:dyDescent="0.65">
      <c r="A1071" s="34">
        <v>1070</v>
      </c>
      <c r="B1071" s="3" t="s">
        <v>3282</v>
      </c>
      <c r="C1071" s="1" t="s">
        <v>3283</v>
      </c>
      <c r="D1071" s="1">
        <v>71</v>
      </c>
      <c r="E1071" s="2" t="s">
        <v>3284</v>
      </c>
      <c r="F1071" s="3">
        <v>1</v>
      </c>
      <c r="G1071" s="33">
        <v>32874</v>
      </c>
      <c r="H1071" s="30">
        <v>45170</v>
      </c>
      <c r="I1071" s="1"/>
      <c r="J1071" s="1"/>
      <c r="K1071" s="1"/>
      <c r="L1071" s="1"/>
      <c r="M1071" s="1"/>
      <c r="P1071" s="3"/>
    </row>
    <row r="1072" spans="1:17" x14ac:dyDescent="0.65">
      <c r="A1072" s="34">
        <v>1071</v>
      </c>
      <c r="B1072" s="3" t="s">
        <v>3285</v>
      </c>
      <c r="C1072" s="1" t="s">
        <v>3286</v>
      </c>
      <c r="D1072" s="1">
        <v>72</v>
      </c>
      <c r="E1072" s="2" t="s">
        <v>3287</v>
      </c>
      <c r="F1072" s="3">
        <v>1</v>
      </c>
      <c r="G1072" s="33">
        <v>32874</v>
      </c>
      <c r="H1072" s="30">
        <v>45608</v>
      </c>
      <c r="I1072" s="1"/>
      <c r="J1072" s="1"/>
      <c r="K1072" s="1"/>
      <c r="L1072" s="1"/>
      <c r="M1072" s="1"/>
      <c r="P1072" s="3"/>
    </row>
    <row r="1073" spans="1:19" x14ac:dyDescent="0.65">
      <c r="A1073" s="34">
        <v>1072</v>
      </c>
      <c r="B1073" s="3" t="s">
        <v>3288</v>
      </c>
      <c r="C1073" s="1" t="s">
        <v>3289</v>
      </c>
      <c r="D1073" s="1">
        <v>72</v>
      </c>
      <c r="E1073" s="2" t="s">
        <v>3290</v>
      </c>
      <c r="F1073" s="3">
        <v>1</v>
      </c>
      <c r="G1073" s="33">
        <v>32874</v>
      </c>
      <c r="H1073" s="30">
        <v>44750</v>
      </c>
      <c r="I1073" s="1"/>
      <c r="J1073" s="1"/>
      <c r="K1073" s="1"/>
      <c r="L1073" s="1"/>
      <c r="M1073" s="1"/>
      <c r="P1073" s="3"/>
    </row>
    <row r="1074" spans="1:19" x14ac:dyDescent="0.65">
      <c r="A1074" s="34">
        <v>1073</v>
      </c>
      <c r="B1074" s="3" t="s">
        <v>3291</v>
      </c>
      <c r="C1074" s="1" t="s">
        <v>3292</v>
      </c>
      <c r="D1074" s="1">
        <v>72</v>
      </c>
      <c r="E1074" s="2" t="s">
        <v>3293</v>
      </c>
      <c r="F1074" s="3">
        <v>1</v>
      </c>
      <c r="G1074" s="33">
        <v>32874</v>
      </c>
      <c r="H1074" s="30">
        <v>45587</v>
      </c>
      <c r="I1074" s="1"/>
      <c r="J1074" s="1"/>
      <c r="K1074" s="1"/>
      <c r="L1074" s="1"/>
      <c r="M1074" s="1"/>
      <c r="P1074" s="3"/>
    </row>
    <row r="1075" spans="1:19" x14ac:dyDescent="0.65">
      <c r="A1075" s="34">
        <v>1074</v>
      </c>
      <c r="B1075" s="3" t="s">
        <v>3294</v>
      </c>
      <c r="C1075" s="1" t="s">
        <v>3295</v>
      </c>
      <c r="D1075" s="1">
        <v>71</v>
      </c>
      <c r="E1075" s="2" t="s">
        <v>3296</v>
      </c>
      <c r="F1075" s="3">
        <v>1</v>
      </c>
      <c r="G1075" s="33">
        <v>32874</v>
      </c>
      <c r="H1075" s="30">
        <v>45168</v>
      </c>
      <c r="I1075" s="1"/>
      <c r="J1075" s="1"/>
      <c r="K1075" s="1"/>
      <c r="L1075" s="1"/>
      <c r="M1075" s="1"/>
      <c r="P1075" s="3"/>
    </row>
    <row r="1076" spans="1:19" x14ac:dyDescent="0.65">
      <c r="A1076" s="34">
        <v>1075</v>
      </c>
      <c r="B1076" s="3" t="s">
        <v>3297</v>
      </c>
      <c r="C1076" s="1" t="s">
        <v>3298</v>
      </c>
      <c r="D1076" s="1">
        <v>73</v>
      </c>
      <c r="E1076" s="2" t="s">
        <v>3299</v>
      </c>
      <c r="F1076" s="3">
        <v>1</v>
      </c>
      <c r="G1076" s="33">
        <v>32874</v>
      </c>
      <c r="H1076" s="30">
        <v>43782</v>
      </c>
      <c r="I1076" s="1"/>
      <c r="J1076" s="1"/>
      <c r="K1076" s="1"/>
      <c r="L1076" s="1"/>
      <c r="M1076" s="1"/>
      <c r="P1076" s="3"/>
      <c r="R1076" s="1"/>
      <c r="S1076" s="1"/>
    </row>
    <row r="1077" spans="1:19" x14ac:dyDescent="0.65">
      <c r="A1077" s="34">
        <v>1076</v>
      </c>
      <c r="B1077" s="3" t="s">
        <v>3300</v>
      </c>
      <c r="C1077" s="1" t="s">
        <v>3301</v>
      </c>
      <c r="D1077" s="1">
        <v>72</v>
      </c>
      <c r="E1077" s="2" t="s">
        <v>3302</v>
      </c>
      <c r="F1077" s="3">
        <v>1</v>
      </c>
      <c r="G1077" s="33">
        <v>32874</v>
      </c>
      <c r="H1077" s="30">
        <v>45586</v>
      </c>
      <c r="I1077" s="1"/>
      <c r="J1077" s="1"/>
      <c r="K1077" s="1"/>
      <c r="L1077" s="1"/>
      <c r="M1077" s="1"/>
      <c r="P1077" s="3"/>
    </row>
    <row r="1078" spans="1:19" x14ac:dyDescent="0.65">
      <c r="A1078" s="34">
        <v>1077</v>
      </c>
      <c r="B1078" s="3" t="s">
        <v>3303</v>
      </c>
      <c r="C1078" s="1" t="s">
        <v>3304</v>
      </c>
      <c r="D1078" s="1">
        <v>72</v>
      </c>
      <c r="E1078" s="2" t="s">
        <v>3305</v>
      </c>
      <c r="F1078" s="3">
        <v>1</v>
      </c>
      <c r="G1078" s="33">
        <v>32874</v>
      </c>
      <c r="H1078" s="30">
        <v>45574</v>
      </c>
      <c r="I1078" s="1"/>
      <c r="J1078" s="1"/>
      <c r="K1078" s="1"/>
      <c r="L1078" s="1"/>
      <c r="M1078" s="1"/>
      <c r="P1078" s="3"/>
    </row>
    <row r="1079" spans="1:19" x14ac:dyDescent="0.65">
      <c r="A1079" s="34">
        <v>1078</v>
      </c>
      <c r="B1079" s="3" t="s">
        <v>3306</v>
      </c>
      <c r="C1079" s="1" t="s">
        <v>3307</v>
      </c>
      <c r="D1079" s="1">
        <v>72</v>
      </c>
      <c r="E1079" s="2" t="s">
        <v>3308</v>
      </c>
      <c r="F1079" s="3">
        <v>1</v>
      </c>
      <c r="G1079" s="33">
        <v>32874</v>
      </c>
      <c r="H1079" s="30">
        <v>45575</v>
      </c>
      <c r="I1079" s="1"/>
      <c r="J1079" s="1"/>
      <c r="K1079" s="1"/>
      <c r="L1079" s="1"/>
      <c r="M1079" s="1"/>
      <c r="P1079" s="3"/>
    </row>
    <row r="1080" spans="1:19" x14ac:dyDescent="0.65">
      <c r="A1080" s="34">
        <v>1079</v>
      </c>
      <c r="B1080" s="3" t="s">
        <v>3309</v>
      </c>
      <c r="C1080" s="1" t="s">
        <v>3310</v>
      </c>
      <c r="D1080" s="1">
        <v>74</v>
      </c>
      <c r="E1080" s="2" t="s">
        <v>3311</v>
      </c>
      <c r="F1080" s="3">
        <v>1</v>
      </c>
      <c r="G1080" s="33">
        <v>32874</v>
      </c>
      <c r="H1080" s="30">
        <v>45524</v>
      </c>
      <c r="I1080" s="1"/>
      <c r="J1080" s="1"/>
      <c r="K1080" s="1"/>
      <c r="L1080" s="1"/>
      <c r="M1080" s="1"/>
      <c r="P1080" s="3"/>
      <c r="R1080" s="1"/>
      <c r="S1080" s="1"/>
    </row>
    <row r="1081" spans="1:19" x14ac:dyDescent="0.65">
      <c r="A1081" s="34">
        <v>1080</v>
      </c>
      <c r="B1081" s="3" t="s">
        <v>3312</v>
      </c>
      <c r="C1081" s="1" t="s">
        <v>3313</v>
      </c>
      <c r="D1081" s="1">
        <v>72</v>
      </c>
      <c r="E1081" s="2" t="s">
        <v>3314</v>
      </c>
      <c r="F1081" s="3">
        <v>1</v>
      </c>
      <c r="G1081" s="33">
        <v>32874</v>
      </c>
      <c r="H1081" s="30">
        <v>45854.73065972222</v>
      </c>
      <c r="I1081" s="1"/>
      <c r="J1081" s="1"/>
      <c r="K1081" s="1"/>
      <c r="L1081" s="1"/>
      <c r="M1081" s="1"/>
      <c r="P1081" s="3"/>
    </row>
    <row r="1082" spans="1:19" x14ac:dyDescent="0.65">
      <c r="A1082" s="34">
        <v>1081</v>
      </c>
      <c r="B1082" s="3" t="s">
        <v>3315</v>
      </c>
      <c r="C1082" s="1" t="s">
        <v>3316</v>
      </c>
      <c r="D1082" s="1">
        <v>72</v>
      </c>
      <c r="E1082" s="2" t="s">
        <v>3317</v>
      </c>
      <c r="F1082" s="3">
        <v>1</v>
      </c>
      <c r="G1082" s="33">
        <v>32874</v>
      </c>
      <c r="H1082" s="30">
        <v>44085</v>
      </c>
      <c r="I1082" s="1"/>
      <c r="J1082" s="1"/>
      <c r="K1082" s="1"/>
      <c r="L1082" s="1"/>
      <c r="M1082" s="1"/>
      <c r="P1082" s="3"/>
    </row>
    <row r="1083" spans="1:19" x14ac:dyDescent="0.65">
      <c r="A1083" s="34">
        <v>1082</v>
      </c>
      <c r="B1083" s="3" t="s">
        <v>3318</v>
      </c>
      <c r="C1083" s="1" t="s">
        <v>3319</v>
      </c>
      <c r="D1083" s="1">
        <v>72</v>
      </c>
      <c r="E1083" s="2" t="s">
        <v>3320</v>
      </c>
      <c r="F1083" s="3">
        <v>1</v>
      </c>
      <c r="G1083" s="33">
        <v>32874</v>
      </c>
      <c r="H1083" s="30">
        <v>45761.700740740744</v>
      </c>
      <c r="I1083" s="1"/>
      <c r="J1083" s="1"/>
      <c r="K1083" s="1"/>
      <c r="L1083" s="1"/>
      <c r="M1083" s="1"/>
      <c r="P1083" s="3"/>
    </row>
    <row r="1084" spans="1:19" x14ac:dyDescent="0.65">
      <c r="A1084" s="34">
        <v>1083</v>
      </c>
      <c r="B1084" s="3" t="s">
        <v>3321</v>
      </c>
      <c r="C1084" s="1" t="s">
        <v>3322</v>
      </c>
      <c r="D1084" s="1">
        <v>72</v>
      </c>
      <c r="E1084" s="2" t="s">
        <v>3323</v>
      </c>
      <c r="F1084" s="3">
        <v>1</v>
      </c>
      <c r="G1084" s="33">
        <v>32874</v>
      </c>
      <c r="H1084" s="30">
        <v>45467</v>
      </c>
      <c r="I1084" s="1"/>
      <c r="J1084" s="1"/>
      <c r="K1084" s="1"/>
      <c r="L1084" s="1"/>
      <c r="M1084" s="1"/>
      <c r="P1084" s="3"/>
    </row>
    <row r="1085" spans="1:19" x14ac:dyDescent="0.65">
      <c r="A1085" s="34">
        <v>1084</v>
      </c>
      <c r="B1085" s="3" t="s">
        <v>3324</v>
      </c>
      <c r="C1085" s="1" t="s">
        <v>3325</v>
      </c>
      <c r="D1085" s="1">
        <v>72</v>
      </c>
      <c r="E1085" s="2" t="s">
        <v>3326</v>
      </c>
      <c r="F1085" s="3">
        <v>1</v>
      </c>
      <c r="G1085" s="33">
        <v>32874</v>
      </c>
      <c r="H1085" s="30">
        <v>44474</v>
      </c>
      <c r="I1085" s="1"/>
      <c r="J1085" s="1"/>
      <c r="K1085" s="1"/>
      <c r="L1085" s="1"/>
      <c r="M1085" s="1"/>
      <c r="P1085" s="3"/>
    </row>
    <row r="1086" spans="1:19" x14ac:dyDescent="0.65">
      <c r="A1086" s="34">
        <v>1085</v>
      </c>
      <c r="B1086" s="3" t="s">
        <v>3327</v>
      </c>
      <c r="C1086" s="1" t="s">
        <v>2408</v>
      </c>
      <c r="D1086" s="1">
        <v>72</v>
      </c>
      <c r="E1086" s="2" t="s">
        <v>3328</v>
      </c>
      <c r="F1086" s="3">
        <v>1</v>
      </c>
      <c r="G1086" s="33">
        <v>32874</v>
      </c>
      <c r="H1086" s="30">
        <v>45667.542430555557</v>
      </c>
      <c r="I1086" s="1"/>
      <c r="J1086" s="1"/>
      <c r="K1086" s="1"/>
      <c r="L1086" s="1"/>
      <c r="M1086" s="1"/>
      <c r="P1086" s="3"/>
    </row>
    <row r="1087" spans="1:19" x14ac:dyDescent="0.65">
      <c r="A1087" s="34">
        <v>1086</v>
      </c>
      <c r="B1087" s="3" t="s">
        <v>3329</v>
      </c>
      <c r="C1087" s="1" t="s">
        <v>2130</v>
      </c>
      <c r="D1087" s="1">
        <v>72</v>
      </c>
      <c r="E1087" s="2" t="s">
        <v>3330</v>
      </c>
      <c r="F1087" s="3">
        <v>1</v>
      </c>
      <c r="G1087" s="33">
        <v>32874</v>
      </c>
      <c r="H1087" s="30">
        <v>45608</v>
      </c>
      <c r="I1087" s="1"/>
      <c r="J1087" s="1"/>
      <c r="K1087" s="1"/>
      <c r="L1087" s="1"/>
      <c r="M1087" s="1"/>
      <c r="P1087" s="3"/>
    </row>
    <row r="1088" spans="1:19" x14ac:dyDescent="0.65">
      <c r="A1088" s="34">
        <v>1087</v>
      </c>
      <c r="B1088" s="3" t="s">
        <v>3331</v>
      </c>
      <c r="C1088" s="1" t="s">
        <v>3332</v>
      </c>
      <c r="D1088" s="1">
        <v>71</v>
      </c>
      <c r="E1088" s="2" t="s">
        <v>3333</v>
      </c>
      <c r="F1088" s="3">
        <v>1</v>
      </c>
      <c r="G1088" s="33">
        <v>32874</v>
      </c>
      <c r="H1088" s="30">
        <v>45728.738402777781</v>
      </c>
      <c r="I1088" s="1"/>
      <c r="J1088" s="1"/>
      <c r="K1088" s="1"/>
      <c r="L1088" s="1"/>
      <c r="M1088" s="1"/>
      <c r="P1088" s="3"/>
    </row>
    <row r="1089" spans="1:19" x14ac:dyDescent="0.65">
      <c r="A1089" s="34">
        <v>1088</v>
      </c>
      <c r="B1089" s="3" t="s">
        <v>3334</v>
      </c>
      <c r="C1089" s="1" t="s">
        <v>3335</v>
      </c>
      <c r="D1089" s="1">
        <v>72</v>
      </c>
      <c r="E1089" s="2" t="s">
        <v>3336</v>
      </c>
      <c r="F1089" s="3">
        <v>1</v>
      </c>
      <c r="G1089" s="33">
        <v>32874</v>
      </c>
      <c r="H1089" s="30">
        <v>44025</v>
      </c>
      <c r="I1089" s="1"/>
      <c r="J1089" s="1"/>
      <c r="K1089" s="1"/>
      <c r="L1089" s="1"/>
      <c r="M1089" s="1"/>
      <c r="P1089" s="3"/>
    </row>
    <row r="1090" spans="1:19" x14ac:dyDescent="0.65">
      <c r="A1090" s="34">
        <v>1089</v>
      </c>
      <c r="B1090" s="3" t="s">
        <v>3337</v>
      </c>
      <c r="C1090" s="1" t="s">
        <v>3338</v>
      </c>
      <c r="D1090" s="1">
        <v>73</v>
      </c>
      <c r="E1090" s="2" t="s">
        <v>3339</v>
      </c>
      <c r="F1090" s="3">
        <v>1</v>
      </c>
      <c r="G1090" s="33">
        <v>32874</v>
      </c>
      <c r="H1090" s="30">
        <v>44077</v>
      </c>
      <c r="I1090" s="1"/>
      <c r="J1090" s="1"/>
      <c r="K1090" s="1"/>
      <c r="L1090" s="1"/>
      <c r="M1090" s="1"/>
      <c r="P1090" s="3"/>
      <c r="R1090" s="1"/>
      <c r="S1090" s="1"/>
    </row>
    <row r="1091" spans="1:19" x14ac:dyDescent="0.65">
      <c r="A1091" s="34">
        <v>1090</v>
      </c>
      <c r="B1091" s="3" t="s">
        <v>3340</v>
      </c>
      <c r="C1091" s="1" t="s">
        <v>3341</v>
      </c>
      <c r="D1091" s="1">
        <v>73</v>
      </c>
      <c r="E1091" s="2" t="s">
        <v>3342</v>
      </c>
      <c r="F1091" s="3">
        <v>1</v>
      </c>
      <c r="G1091" s="33">
        <v>32874</v>
      </c>
      <c r="H1091" s="30">
        <v>44104</v>
      </c>
      <c r="I1091" s="1"/>
      <c r="J1091" s="1"/>
      <c r="K1091" s="1"/>
      <c r="L1091" s="1"/>
      <c r="M1091" s="1"/>
      <c r="P1091" s="3"/>
      <c r="R1091" s="1"/>
      <c r="S1091" s="1"/>
    </row>
    <row r="1092" spans="1:19" x14ac:dyDescent="0.65">
      <c r="A1092" s="34">
        <v>1091</v>
      </c>
      <c r="B1092" s="3" t="s">
        <v>3343</v>
      </c>
      <c r="C1092" s="1" t="s">
        <v>2328</v>
      </c>
      <c r="D1092" s="1">
        <v>74</v>
      </c>
      <c r="E1092" s="2" t="s">
        <v>3344</v>
      </c>
      <c r="F1092" s="3">
        <v>1</v>
      </c>
      <c r="G1092" s="33">
        <v>32874</v>
      </c>
      <c r="H1092" s="30">
        <v>45555</v>
      </c>
      <c r="I1092" s="1"/>
      <c r="J1092" s="1"/>
      <c r="K1092" s="1"/>
      <c r="L1092" s="1"/>
      <c r="M1092" s="1"/>
      <c r="P1092" s="3"/>
      <c r="R1092" s="1"/>
      <c r="S1092" s="1"/>
    </row>
    <row r="1093" spans="1:19" x14ac:dyDescent="0.65">
      <c r="A1093" s="34">
        <v>1092</v>
      </c>
      <c r="B1093" s="3" t="s">
        <v>3345</v>
      </c>
      <c r="C1093" s="1" t="s">
        <v>3346</v>
      </c>
      <c r="D1093" s="1">
        <v>71</v>
      </c>
      <c r="E1093" s="2" t="s">
        <v>3347</v>
      </c>
      <c r="F1093" s="3">
        <v>1</v>
      </c>
      <c r="G1093" s="33">
        <v>32874</v>
      </c>
      <c r="H1093" s="30">
        <v>44865</v>
      </c>
      <c r="I1093" s="1"/>
      <c r="J1093" s="1"/>
      <c r="K1093" s="1"/>
      <c r="L1093" s="1"/>
      <c r="M1093" s="1"/>
      <c r="P1093" s="3"/>
    </row>
    <row r="1094" spans="1:19" x14ac:dyDescent="0.65">
      <c r="A1094" s="34">
        <v>1093</v>
      </c>
      <c r="B1094" s="3" t="s">
        <v>3348</v>
      </c>
      <c r="C1094" s="1" t="s">
        <v>3349</v>
      </c>
      <c r="D1094" s="1">
        <v>74</v>
      </c>
      <c r="E1094" s="2" t="s">
        <v>3350</v>
      </c>
      <c r="F1094" s="3">
        <v>1</v>
      </c>
      <c r="G1094" s="33">
        <v>32874</v>
      </c>
      <c r="H1094" s="30">
        <v>44886</v>
      </c>
      <c r="I1094" s="1"/>
      <c r="J1094" s="1"/>
      <c r="K1094" s="1"/>
      <c r="L1094" s="1"/>
      <c r="M1094" s="1"/>
      <c r="P1094" s="3"/>
      <c r="R1094" s="1"/>
      <c r="S1094" s="1"/>
    </row>
    <row r="1095" spans="1:19" x14ac:dyDescent="0.65">
      <c r="A1095" s="34">
        <v>1094</v>
      </c>
      <c r="B1095" s="3" t="s">
        <v>3351</v>
      </c>
      <c r="C1095" s="1" t="s">
        <v>3352</v>
      </c>
      <c r="D1095" s="1">
        <v>72</v>
      </c>
      <c r="E1095" s="2" t="s">
        <v>3353</v>
      </c>
      <c r="F1095" s="3">
        <v>1</v>
      </c>
      <c r="G1095" s="33">
        <v>32874</v>
      </c>
      <c r="H1095" s="30">
        <v>45603</v>
      </c>
      <c r="I1095" s="1"/>
      <c r="J1095" s="1"/>
      <c r="K1095" s="1"/>
      <c r="L1095" s="1"/>
      <c r="M1095" s="1"/>
      <c r="P1095" s="3"/>
    </row>
    <row r="1096" spans="1:19" x14ac:dyDescent="0.65">
      <c r="A1096" s="34">
        <v>1095</v>
      </c>
      <c r="B1096" s="3" t="s">
        <v>3354</v>
      </c>
      <c r="C1096" s="1" t="s">
        <v>2234</v>
      </c>
      <c r="D1096" s="1">
        <v>74</v>
      </c>
      <c r="E1096" s="2" t="s">
        <v>3355</v>
      </c>
      <c r="F1096" s="3">
        <v>1</v>
      </c>
      <c r="G1096" s="33">
        <v>32874</v>
      </c>
      <c r="H1096" s="30">
        <v>45440</v>
      </c>
      <c r="I1096" s="1"/>
      <c r="J1096" s="1"/>
      <c r="K1096" s="1"/>
      <c r="L1096" s="1"/>
      <c r="M1096" s="1"/>
      <c r="P1096" s="3"/>
      <c r="R1096" s="1"/>
      <c r="S1096" s="1"/>
    </row>
    <row r="1097" spans="1:19" x14ac:dyDescent="0.65">
      <c r="A1097" s="34">
        <v>1096</v>
      </c>
      <c r="B1097" s="3" t="s">
        <v>3356</v>
      </c>
      <c r="C1097" s="1" t="s">
        <v>2331</v>
      </c>
      <c r="D1097" s="1">
        <v>74</v>
      </c>
      <c r="E1097" s="2" t="s">
        <v>3357</v>
      </c>
      <c r="F1097" s="3">
        <v>1</v>
      </c>
      <c r="G1097" s="33">
        <v>32874</v>
      </c>
      <c r="H1097" s="30">
        <v>45184</v>
      </c>
      <c r="I1097" s="1"/>
      <c r="J1097" s="1"/>
      <c r="K1097" s="1"/>
      <c r="L1097" s="1"/>
      <c r="M1097" s="1"/>
      <c r="P1097" s="3"/>
      <c r="R1097" s="1"/>
      <c r="S1097" s="1"/>
    </row>
    <row r="1098" spans="1:19" x14ac:dyDescent="0.65">
      <c r="A1098" s="34">
        <v>1097</v>
      </c>
      <c r="B1098" s="3" t="s">
        <v>3358</v>
      </c>
      <c r="C1098" s="1" t="s">
        <v>3359</v>
      </c>
      <c r="D1098" s="1">
        <v>71</v>
      </c>
      <c r="E1098" s="2" t="s">
        <v>3360</v>
      </c>
      <c r="F1098" s="3">
        <v>1</v>
      </c>
      <c r="G1098" s="33">
        <v>32874</v>
      </c>
      <c r="H1098" s="30">
        <v>45204</v>
      </c>
      <c r="I1098" s="1"/>
      <c r="J1098" s="1"/>
      <c r="K1098" s="1"/>
      <c r="L1098" s="1"/>
      <c r="M1098" s="1"/>
      <c r="P1098" s="3"/>
    </row>
    <row r="1099" spans="1:19" x14ac:dyDescent="0.65">
      <c r="A1099" s="34">
        <v>1098</v>
      </c>
      <c r="B1099" s="3" t="s">
        <v>3361</v>
      </c>
      <c r="C1099" s="1" t="s">
        <v>3362</v>
      </c>
      <c r="D1099" s="1">
        <v>74</v>
      </c>
      <c r="E1099" s="2" t="s">
        <v>3363</v>
      </c>
      <c r="F1099" s="3">
        <v>1</v>
      </c>
      <c r="G1099" s="33">
        <v>32874</v>
      </c>
      <c r="H1099" s="30">
        <v>45329</v>
      </c>
      <c r="I1099" s="1"/>
      <c r="J1099" s="1"/>
      <c r="K1099" s="1"/>
      <c r="L1099" s="1"/>
      <c r="M1099" s="1"/>
      <c r="P1099" s="3"/>
      <c r="R1099" s="1"/>
      <c r="S1099" s="1"/>
    </row>
    <row r="1100" spans="1:19" x14ac:dyDescent="0.65">
      <c r="A1100" s="34">
        <v>1099</v>
      </c>
      <c r="B1100" s="3" t="s">
        <v>3364</v>
      </c>
      <c r="C1100" s="1" t="s">
        <v>3365</v>
      </c>
      <c r="D1100" s="1">
        <v>72</v>
      </c>
      <c r="E1100" s="2" t="s">
        <v>3366</v>
      </c>
      <c r="F1100" s="3">
        <v>1</v>
      </c>
      <c r="G1100" s="33">
        <v>32874</v>
      </c>
      <c r="H1100" s="30">
        <v>45761.630428240744</v>
      </c>
      <c r="I1100" s="1"/>
      <c r="J1100" s="1"/>
      <c r="K1100" s="1"/>
      <c r="L1100" s="1"/>
      <c r="M1100" s="1"/>
      <c r="P1100" s="3"/>
    </row>
    <row r="1101" spans="1:19" x14ac:dyDescent="0.65">
      <c r="A1101" s="34">
        <v>1100</v>
      </c>
      <c r="B1101" s="3" t="s">
        <v>3367</v>
      </c>
      <c r="C1101" s="1" t="s">
        <v>3368</v>
      </c>
      <c r="D1101" s="1">
        <v>74</v>
      </c>
      <c r="E1101" s="2" t="s">
        <v>3369</v>
      </c>
      <c r="F1101" s="3">
        <v>1</v>
      </c>
      <c r="G1101" s="33">
        <v>32874</v>
      </c>
      <c r="H1101" s="30">
        <v>45754.662407407406</v>
      </c>
      <c r="I1101" s="1"/>
      <c r="J1101" s="1"/>
      <c r="K1101" s="1"/>
      <c r="L1101" s="1"/>
      <c r="M1101" s="1"/>
      <c r="P1101" s="3"/>
      <c r="R1101" s="1"/>
      <c r="S1101" s="1"/>
    </row>
    <row r="1102" spans="1:19" x14ac:dyDescent="0.65">
      <c r="A1102" s="34">
        <v>1101</v>
      </c>
      <c r="B1102" s="3" t="s">
        <v>3370</v>
      </c>
      <c r="C1102" s="1" t="s">
        <v>3116</v>
      </c>
      <c r="D1102" s="1">
        <v>71</v>
      </c>
      <c r="E1102" s="2" t="s">
        <v>3371</v>
      </c>
      <c r="F1102" s="3">
        <v>1</v>
      </c>
      <c r="G1102" s="33">
        <v>32874</v>
      </c>
      <c r="H1102" s="30">
        <v>45413</v>
      </c>
      <c r="I1102" s="1"/>
      <c r="J1102" s="1"/>
      <c r="K1102" s="1"/>
      <c r="L1102" s="1"/>
      <c r="M1102" s="1"/>
      <c r="P1102" s="3"/>
    </row>
    <row r="1103" spans="1:19" x14ac:dyDescent="0.65">
      <c r="A1103" s="34">
        <v>1102</v>
      </c>
      <c r="B1103" s="3" t="s">
        <v>3372</v>
      </c>
      <c r="C1103" s="1" t="s">
        <v>3373</v>
      </c>
      <c r="D1103" s="1">
        <v>74</v>
      </c>
      <c r="E1103" s="2" t="s">
        <v>3374</v>
      </c>
      <c r="F1103" s="3">
        <v>1</v>
      </c>
      <c r="G1103" s="33">
        <v>32874</v>
      </c>
      <c r="H1103" s="30">
        <v>45469</v>
      </c>
      <c r="I1103" s="1"/>
      <c r="J1103" s="1"/>
      <c r="K1103" s="1"/>
      <c r="L1103" s="1"/>
      <c r="M1103" s="1"/>
      <c r="P1103" s="3"/>
      <c r="R1103" s="1"/>
      <c r="S1103" s="1"/>
    </row>
    <row r="1104" spans="1:19" x14ac:dyDescent="0.65">
      <c r="A1104" s="34">
        <v>1103</v>
      </c>
      <c r="B1104" s="3" t="s">
        <v>3375</v>
      </c>
      <c r="C1104" s="1" t="s">
        <v>3239</v>
      </c>
      <c r="D1104" s="1">
        <v>71</v>
      </c>
      <c r="E1104" s="2" t="s">
        <v>3376</v>
      </c>
      <c r="F1104" s="3">
        <v>1</v>
      </c>
      <c r="G1104" s="33">
        <v>32874</v>
      </c>
      <c r="H1104" s="30">
        <v>45474</v>
      </c>
      <c r="I1104" s="1"/>
      <c r="J1104" s="1"/>
      <c r="K1104" s="1"/>
      <c r="L1104" s="1"/>
      <c r="M1104" s="1"/>
      <c r="P1104" s="3"/>
    </row>
    <row r="1105" spans="1:19" x14ac:dyDescent="0.65">
      <c r="A1105" s="34">
        <v>1104</v>
      </c>
      <c r="B1105" s="3" t="s">
        <v>3377</v>
      </c>
      <c r="C1105" s="1" t="s">
        <v>3378</v>
      </c>
      <c r="D1105" s="1">
        <v>74</v>
      </c>
      <c r="E1105" s="2" t="s">
        <v>3379</v>
      </c>
      <c r="F1105" s="3">
        <v>1</v>
      </c>
      <c r="G1105" s="33">
        <v>32874</v>
      </c>
      <c r="H1105" s="30">
        <v>45532</v>
      </c>
      <c r="I1105" s="1"/>
      <c r="J1105" s="1"/>
      <c r="K1105" s="1"/>
      <c r="L1105" s="1"/>
      <c r="M1105" s="1"/>
      <c r="P1105" s="3"/>
      <c r="R1105" s="1"/>
      <c r="S1105" s="1"/>
    </row>
    <row r="1106" spans="1:19" x14ac:dyDescent="0.65">
      <c r="A1106" s="34">
        <v>1105</v>
      </c>
      <c r="B1106" s="3" t="s">
        <v>3380</v>
      </c>
      <c r="C1106" s="1" t="s">
        <v>3381</v>
      </c>
      <c r="D1106" s="1">
        <v>74</v>
      </c>
      <c r="E1106" s="2" t="s">
        <v>3382</v>
      </c>
      <c r="F1106" s="3">
        <v>1</v>
      </c>
      <c r="G1106" s="33">
        <v>32874</v>
      </c>
      <c r="H1106" s="30">
        <v>45531</v>
      </c>
      <c r="I1106" s="1"/>
      <c r="J1106" s="1"/>
      <c r="K1106" s="1"/>
      <c r="L1106" s="1"/>
      <c r="M1106" s="1"/>
      <c r="P1106" s="3"/>
      <c r="R1106" s="1"/>
      <c r="S1106" s="1"/>
    </row>
    <row r="1107" spans="1:19" x14ac:dyDescent="0.65">
      <c r="A1107" s="34">
        <v>1106</v>
      </c>
      <c r="B1107" s="3" t="s">
        <v>3383</v>
      </c>
      <c r="C1107" s="1" t="s">
        <v>3384</v>
      </c>
      <c r="D1107" s="1">
        <v>74</v>
      </c>
      <c r="E1107" s="2" t="s">
        <v>3385</v>
      </c>
      <c r="F1107" s="3">
        <v>1</v>
      </c>
      <c r="G1107" s="33">
        <v>32874</v>
      </c>
      <c r="H1107" s="30">
        <v>45553</v>
      </c>
      <c r="I1107" s="1"/>
      <c r="J1107" s="1"/>
      <c r="K1107" s="1"/>
      <c r="L1107" s="1"/>
      <c r="M1107" s="1"/>
      <c r="P1107" s="3"/>
      <c r="R1107" s="1"/>
      <c r="S1107" s="1"/>
    </row>
    <row r="1108" spans="1:19" x14ac:dyDescent="0.65">
      <c r="A1108" s="34">
        <v>1107</v>
      </c>
      <c r="B1108" s="3" t="s">
        <v>3386</v>
      </c>
      <c r="C1108" s="1" t="s">
        <v>3387</v>
      </c>
      <c r="D1108" s="1">
        <v>74</v>
      </c>
      <c r="E1108" s="2" t="s">
        <v>3388</v>
      </c>
      <c r="F1108" s="3">
        <v>1</v>
      </c>
      <c r="G1108" s="33">
        <v>32874</v>
      </c>
      <c r="H1108" s="30">
        <v>45617</v>
      </c>
      <c r="I1108" s="1"/>
      <c r="J1108" s="1"/>
      <c r="K1108" s="1"/>
      <c r="L1108" s="1"/>
      <c r="M1108" s="1"/>
      <c r="P1108" s="3"/>
      <c r="R1108" s="1"/>
      <c r="S1108" s="1"/>
    </row>
    <row r="1109" spans="1:19" x14ac:dyDescent="0.65">
      <c r="A1109" s="34">
        <v>1108</v>
      </c>
      <c r="B1109" s="3" t="s">
        <v>3389</v>
      </c>
      <c r="C1109" s="1" t="s">
        <v>2181</v>
      </c>
      <c r="D1109" s="1">
        <v>74</v>
      </c>
      <c r="E1109" s="2" t="s">
        <v>3390</v>
      </c>
      <c r="F1109" s="3">
        <v>1</v>
      </c>
      <c r="G1109" s="33">
        <v>32874</v>
      </c>
      <c r="H1109" s="30">
        <v>45687.621203703704</v>
      </c>
      <c r="I1109" s="1"/>
      <c r="J1109" s="1"/>
      <c r="K1109" s="1"/>
      <c r="L1109" s="1"/>
      <c r="M1109" s="1"/>
      <c r="P1109" s="3"/>
      <c r="R1109" s="1"/>
      <c r="S1109" s="1"/>
    </row>
    <row r="1110" spans="1:19" x14ac:dyDescent="0.65">
      <c r="A1110" s="34">
        <v>1109</v>
      </c>
      <c r="B1110" s="3" t="s">
        <v>3391</v>
      </c>
      <c r="C1110" s="1" t="s">
        <v>3392</v>
      </c>
      <c r="D1110" s="1">
        <v>72</v>
      </c>
      <c r="E1110" s="2" t="s">
        <v>3393</v>
      </c>
      <c r="F1110" s="3">
        <v>1</v>
      </c>
      <c r="G1110" s="33">
        <v>32874</v>
      </c>
      <c r="H1110" s="30">
        <v>45688.500810185185</v>
      </c>
      <c r="I1110" s="1"/>
      <c r="J1110" s="1"/>
      <c r="K1110" s="1"/>
      <c r="L1110" s="1"/>
      <c r="M1110" s="1"/>
      <c r="P1110" s="3"/>
    </row>
    <row r="1111" spans="1:19" x14ac:dyDescent="0.65">
      <c r="A1111" s="34">
        <v>1110</v>
      </c>
      <c r="B1111" s="3" t="s">
        <v>3394</v>
      </c>
      <c r="C1111" s="1" t="s">
        <v>3395</v>
      </c>
      <c r="D1111" s="1">
        <v>74</v>
      </c>
      <c r="E1111" s="2" t="s">
        <v>3396</v>
      </c>
      <c r="F1111" s="3">
        <v>1</v>
      </c>
      <c r="G1111" s="33">
        <v>32874</v>
      </c>
      <c r="H1111" s="30">
        <v>45692.652916666666</v>
      </c>
      <c r="I1111" s="1"/>
      <c r="J1111" s="1"/>
      <c r="K1111" s="1"/>
      <c r="L1111" s="1"/>
      <c r="M1111" s="1"/>
      <c r="P1111" s="3"/>
      <c r="R1111" s="1"/>
      <c r="S1111" s="1"/>
    </row>
    <row r="1112" spans="1:19" x14ac:dyDescent="0.65">
      <c r="A1112" s="34">
        <v>1111</v>
      </c>
      <c r="B1112" s="3" t="s">
        <v>3397</v>
      </c>
      <c r="C1112" s="1" t="s">
        <v>3398</v>
      </c>
      <c r="D1112" s="1">
        <v>73</v>
      </c>
      <c r="E1112" s="2" t="s">
        <v>3399</v>
      </c>
      <c r="F1112" s="3">
        <v>1</v>
      </c>
      <c r="G1112" s="33">
        <v>32874</v>
      </c>
      <c r="H1112" s="30">
        <v>45741.398032407407</v>
      </c>
      <c r="I1112" s="1"/>
      <c r="J1112" s="1"/>
      <c r="K1112" s="1"/>
      <c r="L1112" s="1"/>
      <c r="M1112" s="1"/>
      <c r="P1112" s="3"/>
      <c r="R1112" s="1"/>
      <c r="S1112" s="1"/>
    </row>
    <row r="1113" spans="1:19" x14ac:dyDescent="0.65">
      <c r="A1113" s="34">
        <v>1112</v>
      </c>
      <c r="B1113" s="3" t="s">
        <v>3400</v>
      </c>
      <c r="C1113" s="1" t="s">
        <v>3398</v>
      </c>
      <c r="D1113" s="1">
        <v>73</v>
      </c>
      <c r="E1113" s="2" t="s">
        <v>3401</v>
      </c>
      <c r="F1113" s="3">
        <v>1</v>
      </c>
      <c r="G1113" s="33">
        <v>32874</v>
      </c>
      <c r="H1113" s="30">
        <v>45737.412291666667</v>
      </c>
      <c r="I1113" s="1"/>
      <c r="J1113" s="1"/>
      <c r="K1113" s="1"/>
      <c r="L1113" s="1"/>
      <c r="M1113" s="1"/>
      <c r="P1113" s="3"/>
      <c r="R1113" s="1"/>
      <c r="S1113" s="1"/>
    </row>
    <row r="1114" spans="1:19" x14ac:dyDescent="0.65">
      <c r="A1114" s="34">
        <v>1113</v>
      </c>
      <c r="B1114" s="3" t="s">
        <v>3402</v>
      </c>
      <c r="C1114" s="1" t="s">
        <v>2181</v>
      </c>
      <c r="D1114" s="1">
        <v>72</v>
      </c>
      <c r="E1114" s="2" t="s">
        <v>3403</v>
      </c>
      <c r="F1114" s="3">
        <v>1</v>
      </c>
      <c r="G1114" s="33">
        <v>32874</v>
      </c>
      <c r="H1114" s="30">
        <v>45868.382800925923</v>
      </c>
      <c r="I1114" s="1"/>
      <c r="J1114" s="1"/>
      <c r="K1114" s="1"/>
      <c r="L1114" s="1"/>
      <c r="M1114" s="1"/>
      <c r="P1114" s="3"/>
    </row>
    <row r="1115" spans="1:19" x14ac:dyDescent="0.65">
      <c r="A1115" s="34">
        <v>1114</v>
      </c>
      <c r="B1115" s="3" t="s">
        <v>3404</v>
      </c>
      <c r="C1115" s="1" t="s">
        <v>3395</v>
      </c>
      <c r="D1115" s="1">
        <v>72</v>
      </c>
      <c r="E1115" s="2" t="s">
        <v>3405</v>
      </c>
      <c r="F1115" s="3">
        <v>1</v>
      </c>
      <c r="G1115" s="33">
        <v>32874</v>
      </c>
      <c r="H1115" s="30">
        <v>45912.53633101852</v>
      </c>
      <c r="I1115" s="1"/>
      <c r="J1115" s="1"/>
      <c r="K1115" s="1"/>
      <c r="L1115" s="1"/>
      <c r="M1115" s="1"/>
      <c r="P1115" s="3"/>
    </row>
    <row r="1116" spans="1:19" x14ac:dyDescent="0.65">
      <c r="A1116" s="34">
        <v>1115</v>
      </c>
      <c r="B1116" s="3" t="s">
        <v>3406</v>
      </c>
      <c r="C1116" s="1" t="s">
        <v>3407</v>
      </c>
      <c r="D1116" s="1">
        <v>77</v>
      </c>
      <c r="E1116" s="2" t="s">
        <v>3408</v>
      </c>
      <c r="F1116" s="3">
        <v>1</v>
      </c>
      <c r="G1116" s="33">
        <v>32874</v>
      </c>
      <c r="H1116" s="30">
        <v>41984</v>
      </c>
      <c r="I1116" s="1"/>
      <c r="J1116" s="1"/>
      <c r="K1116" s="1"/>
      <c r="L1116" s="1"/>
      <c r="M1116" s="1"/>
      <c r="P1116" s="3"/>
      <c r="R1116" s="1"/>
      <c r="S1116" s="1"/>
    </row>
    <row r="1117" spans="1:19" x14ac:dyDescent="0.65">
      <c r="A1117" s="34">
        <v>1116</v>
      </c>
      <c r="B1117" s="3" t="s">
        <v>3410</v>
      </c>
      <c r="C1117" s="1" t="s">
        <v>3411</v>
      </c>
      <c r="D1117" s="1">
        <v>75</v>
      </c>
      <c r="E1117" s="2" t="s">
        <v>3412</v>
      </c>
      <c r="F1117" s="3">
        <v>1</v>
      </c>
      <c r="G1117" s="33">
        <v>32874</v>
      </c>
      <c r="H1117" s="30">
        <v>41365</v>
      </c>
      <c r="I1117" s="1"/>
      <c r="J1117" s="1"/>
      <c r="K1117" s="1"/>
      <c r="L1117" s="1"/>
      <c r="M1117" s="1"/>
      <c r="P1117" s="3"/>
      <c r="R1117" s="1"/>
      <c r="S1117" s="1"/>
    </row>
    <row r="1118" spans="1:19" x14ac:dyDescent="0.65">
      <c r="A1118" s="34">
        <v>1117</v>
      </c>
      <c r="B1118" s="3" t="s">
        <v>3413</v>
      </c>
      <c r="C1118" s="1" t="s">
        <v>3414</v>
      </c>
      <c r="D1118" s="1">
        <v>77</v>
      </c>
      <c r="E1118" s="2" t="s">
        <v>3415</v>
      </c>
      <c r="F1118" s="3">
        <v>1</v>
      </c>
      <c r="G1118" s="33">
        <v>32874</v>
      </c>
      <c r="H1118" s="30">
        <v>45667.446736111109</v>
      </c>
      <c r="I1118" s="1"/>
      <c r="J1118" s="1"/>
      <c r="K1118" s="1"/>
      <c r="L1118" s="1"/>
      <c r="M1118" s="1"/>
      <c r="P1118" s="3"/>
      <c r="R1118" s="1"/>
      <c r="S1118" s="1"/>
    </row>
    <row r="1119" spans="1:19" x14ac:dyDescent="0.65">
      <c r="A1119" s="34">
        <v>1118</v>
      </c>
      <c r="B1119" s="3" t="s">
        <v>3416</v>
      </c>
      <c r="C1119" s="1" t="s">
        <v>3417</v>
      </c>
      <c r="D1119" s="1">
        <v>76</v>
      </c>
      <c r="E1119" s="2" t="s">
        <v>3418</v>
      </c>
      <c r="F1119" s="3">
        <v>1</v>
      </c>
      <c r="G1119" s="33">
        <v>32874</v>
      </c>
      <c r="H1119" s="30">
        <v>45191</v>
      </c>
      <c r="I1119" s="1"/>
      <c r="J1119" s="1"/>
      <c r="K1119" s="1"/>
      <c r="L1119" s="1"/>
      <c r="M1119" s="1"/>
      <c r="P1119" s="3"/>
      <c r="R1119" s="1"/>
      <c r="S1119" s="1"/>
    </row>
    <row r="1120" spans="1:19" x14ac:dyDescent="0.65">
      <c r="A1120" s="34">
        <v>1119</v>
      </c>
      <c r="B1120" s="3" t="s">
        <v>3419</v>
      </c>
      <c r="C1120" s="1" t="s">
        <v>3420</v>
      </c>
      <c r="D1120" s="1">
        <v>76</v>
      </c>
      <c r="E1120" s="2" t="s">
        <v>3421</v>
      </c>
      <c r="F1120" s="3">
        <v>1</v>
      </c>
      <c r="G1120" s="33">
        <v>32874</v>
      </c>
      <c r="H1120" s="30">
        <v>45593</v>
      </c>
      <c r="I1120" s="1"/>
      <c r="J1120" s="1"/>
      <c r="K1120" s="1"/>
      <c r="L1120" s="1"/>
      <c r="M1120" s="1"/>
      <c r="P1120" s="3"/>
      <c r="R1120" s="1"/>
      <c r="S1120" s="1"/>
    </row>
    <row r="1121" spans="1:19" x14ac:dyDescent="0.65">
      <c r="A1121" s="34">
        <v>1120</v>
      </c>
      <c r="B1121" s="3" t="s">
        <v>3422</v>
      </c>
      <c r="C1121" s="1" t="s">
        <v>3423</v>
      </c>
      <c r="D1121" s="1">
        <v>77</v>
      </c>
      <c r="E1121" s="2" t="s">
        <v>3424</v>
      </c>
      <c r="F1121" s="3">
        <v>1</v>
      </c>
      <c r="G1121" s="33">
        <v>32874</v>
      </c>
      <c r="H1121" s="30">
        <v>42948</v>
      </c>
      <c r="I1121" s="1"/>
      <c r="J1121" s="1"/>
      <c r="K1121" s="1"/>
      <c r="L1121" s="1"/>
      <c r="M1121" s="1"/>
      <c r="P1121" s="3"/>
      <c r="R1121" s="1"/>
      <c r="S1121" s="1"/>
    </row>
    <row r="1122" spans="1:19" x14ac:dyDescent="0.65">
      <c r="A1122" s="34">
        <v>1121</v>
      </c>
      <c r="B1122" s="3" t="s">
        <v>3425</v>
      </c>
      <c r="C1122" s="1" t="s">
        <v>3426</v>
      </c>
      <c r="D1122" s="1">
        <v>77</v>
      </c>
      <c r="E1122" s="2" t="s">
        <v>3427</v>
      </c>
      <c r="F1122" s="3">
        <v>1</v>
      </c>
      <c r="G1122" s="33">
        <v>32874</v>
      </c>
      <c r="H1122" s="30">
        <v>43318</v>
      </c>
      <c r="I1122" s="1"/>
      <c r="J1122" s="1"/>
      <c r="K1122" s="1"/>
      <c r="L1122" s="1"/>
      <c r="M1122" s="1"/>
      <c r="P1122" s="3"/>
      <c r="R1122" s="1"/>
      <c r="S1122" s="1"/>
    </row>
    <row r="1123" spans="1:19" x14ac:dyDescent="0.65">
      <c r="A1123" s="34">
        <v>1122</v>
      </c>
      <c r="B1123" s="3" t="s">
        <v>3428</v>
      </c>
      <c r="C1123" s="1" t="s">
        <v>3429</v>
      </c>
      <c r="D1123" s="1">
        <v>77</v>
      </c>
      <c r="E1123" s="2" t="s">
        <v>3430</v>
      </c>
      <c r="F1123" s="3">
        <v>1</v>
      </c>
      <c r="G1123" s="33">
        <v>32874</v>
      </c>
      <c r="H1123" s="30">
        <v>43628</v>
      </c>
      <c r="I1123" s="1"/>
      <c r="J1123" s="1"/>
      <c r="K1123" s="1"/>
      <c r="L1123" s="1"/>
      <c r="M1123" s="1"/>
      <c r="P1123" s="3"/>
      <c r="R1123" s="1"/>
      <c r="S1123" s="1"/>
    </row>
    <row r="1124" spans="1:19" x14ac:dyDescent="0.65">
      <c r="A1124" s="34">
        <v>1123</v>
      </c>
      <c r="B1124" s="3" t="s">
        <v>3431</v>
      </c>
      <c r="C1124" s="1" t="s">
        <v>3432</v>
      </c>
      <c r="D1124" s="1">
        <v>77</v>
      </c>
      <c r="E1124" s="2" t="s">
        <v>3433</v>
      </c>
      <c r="F1124" s="3">
        <v>1</v>
      </c>
      <c r="G1124" s="33">
        <v>32874</v>
      </c>
      <c r="H1124" s="30">
        <v>43318</v>
      </c>
      <c r="I1124" s="1"/>
      <c r="J1124" s="1"/>
      <c r="K1124" s="1"/>
      <c r="L1124" s="1"/>
      <c r="M1124" s="1"/>
      <c r="P1124" s="3"/>
      <c r="R1124" s="1"/>
      <c r="S1124" s="1"/>
    </row>
    <row r="1125" spans="1:19" x14ac:dyDescent="0.65">
      <c r="A1125" s="34">
        <v>1124</v>
      </c>
      <c r="B1125" s="3" t="s">
        <v>3434</v>
      </c>
      <c r="C1125" s="1" t="s">
        <v>3435</v>
      </c>
      <c r="D1125" s="1">
        <v>77</v>
      </c>
      <c r="E1125" s="2" t="s">
        <v>3436</v>
      </c>
      <c r="F1125" s="3">
        <v>1</v>
      </c>
      <c r="G1125" s="33">
        <v>32874</v>
      </c>
      <c r="H1125" s="30">
        <v>43319</v>
      </c>
      <c r="I1125" s="1"/>
      <c r="J1125" s="1"/>
      <c r="K1125" s="1"/>
      <c r="L1125" s="1"/>
      <c r="M1125" s="1"/>
      <c r="P1125" s="3"/>
      <c r="R1125" s="1"/>
      <c r="S1125" s="1"/>
    </row>
    <row r="1126" spans="1:19" x14ac:dyDescent="0.65">
      <c r="A1126" s="34">
        <v>1125</v>
      </c>
      <c r="B1126" s="3" t="s">
        <v>3437</v>
      </c>
      <c r="C1126" s="1" t="s">
        <v>3438</v>
      </c>
      <c r="D1126" s="1">
        <v>77</v>
      </c>
      <c r="E1126" s="2" t="s">
        <v>3439</v>
      </c>
      <c r="F1126" s="3">
        <v>1</v>
      </c>
      <c r="G1126" s="33">
        <v>32874</v>
      </c>
      <c r="H1126" s="30">
        <v>45005</v>
      </c>
      <c r="I1126" s="1"/>
      <c r="J1126" s="1"/>
      <c r="K1126" s="1"/>
      <c r="L1126" s="1"/>
      <c r="M1126" s="1"/>
      <c r="P1126" s="3"/>
      <c r="R1126" s="1"/>
      <c r="S1126" s="1"/>
    </row>
    <row r="1127" spans="1:19" x14ac:dyDescent="0.65">
      <c r="A1127" s="34">
        <v>1126</v>
      </c>
      <c r="B1127" s="3" t="s">
        <v>3440</v>
      </c>
      <c r="C1127" s="1" t="s">
        <v>3441</v>
      </c>
      <c r="D1127" s="1">
        <v>77</v>
      </c>
      <c r="E1127" s="2" t="s">
        <v>3442</v>
      </c>
      <c r="F1127" s="3">
        <v>1</v>
      </c>
      <c r="G1127" s="33">
        <v>32874</v>
      </c>
      <c r="H1127" s="30">
        <v>43444</v>
      </c>
      <c r="I1127" s="1"/>
      <c r="J1127" s="1"/>
      <c r="K1127" s="1"/>
      <c r="L1127" s="1"/>
      <c r="M1127" s="1"/>
      <c r="P1127" s="3"/>
      <c r="R1127" s="1"/>
      <c r="S1127" s="1"/>
    </row>
    <row r="1128" spans="1:19" x14ac:dyDescent="0.65">
      <c r="A1128" s="34">
        <v>1127</v>
      </c>
      <c r="B1128" s="3" t="s">
        <v>3443</v>
      </c>
      <c r="C1128" s="1" t="s">
        <v>3444</v>
      </c>
      <c r="D1128" s="1">
        <v>77</v>
      </c>
      <c r="E1128" s="2" t="s">
        <v>3445</v>
      </c>
      <c r="F1128" s="3">
        <v>1</v>
      </c>
      <c r="G1128" s="33">
        <v>32874</v>
      </c>
      <c r="H1128" s="30">
        <v>43444</v>
      </c>
      <c r="I1128" s="1"/>
      <c r="J1128" s="1"/>
      <c r="K1128" s="1"/>
      <c r="L1128" s="1"/>
      <c r="M1128" s="1"/>
      <c r="P1128" s="3"/>
      <c r="R1128" s="1"/>
      <c r="S1128" s="1"/>
    </row>
    <row r="1129" spans="1:19" x14ac:dyDescent="0.65">
      <c r="A1129" s="34">
        <v>1128</v>
      </c>
      <c r="B1129" s="3" t="s">
        <v>3446</v>
      </c>
      <c r="C1129" s="1" t="s">
        <v>3447</v>
      </c>
      <c r="D1129" s="1">
        <v>77</v>
      </c>
      <c r="E1129" s="2" t="s">
        <v>3448</v>
      </c>
      <c r="F1129" s="3">
        <v>1</v>
      </c>
      <c r="G1129" s="33">
        <v>32874</v>
      </c>
      <c r="H1129" s="30">
        <v>41365</v>
      </c>
      <c r="I1129" s="1"/>
      <c r="J1129" s="1"/>
      <c r="K1129" s="1"/>
      <c r="L1129" s="1"/>
      <c r="M1129" s="1"/>
      <c r="P1129" s="3"/>
      <c r="R1129" s="1"/>
      <c r="S1129" s="1"/>
    </row>
    <row r="1130" spans="1:19" x14ac:dyDescent="0.65">
      <c r="A1130" s="34">
        <v>1129</v>
      </c>
      <c r="B1130" s="3" t="s">
        <v>3449</v>
      </c>
      <c r="C1130" s="1" t="s">
        <v>3450</v>
      </c>
      <c r="D1130" s="1">
        <v>75</v>
      </c>
      <c r="E1130" s="2" t="s">
        <v>3451</v>
      </c>
      <c r="F1130" s="3">
        <v>1</v>
      </c>
      <c r="G1130" s="33">
        <v>32874</v>
      </c>
      <c r="H1130" s="30">
        <v>41365</v>
      </c>
      <c r="I1130" s="1"/>
      <c r="J1130" s="1"/>
      <c r="K1130" s="1"/>
      <c r="L1130" s="1"/>
      <c r="M1130" s="1"/>
      <c r="P1130" s="3"/>
      <c r="R1130" s="1"/>
      <c r="S1130" s="1"/>
    </row>
    <row r="1131" spans="1:19" x14ac:dyDescent="0.65">
      <c r="A1131" s="34">
        <v>1130</v>
      </c>
      <c r="B1131" s="3" t="s">
        <v>3452</v>
      </c>
      <c r="C1131" s="1" t="s">
        <v>3453</v>
      </c>
      <c r="D1131" s="1">
        <v>77</v>
      </c>
      <c r="E1131" s="2" t="s">
        <v>3454</v>
      </c>
      <c r="F1131" s="3">
        <v>1</v>
      </c>
      <c r="G1131" s="33">
        <v>32874</v>
      </c>
      <c r="H1131" s="30">
        <v>41365</v>
      </c>
      <c r="I1131" s="1"/>
      <c r="J1131" s="1"/>
      <c r="K1131" s="1"/>
      <c r="L1131" s="1"/>
      <c r="M1131" s="1"/>
      <c r="P1131" s="3"/>
      <c r="R1131" s="1"/>
      <c r="S1131" s="1"/>
    </row>
    <row r="1132" spans="1:19" x14ac:dyDescent="0.65">
      <c r="A1132" s="34">
        <v>1131</v>
      </c>
      <c r="B1132" s="3" t="s">
        <v>3455</v>
      </c>
      <c r="C1132" s="1" t="s">
        <v>3456</v>
      </c>
      <c r="D1132" s="1">
        <v>77</v>
      </c>
      <c r="E1132" s="2" t="s">
        <v>3457</v>
      </c>
      <c r="F1132" s="3">
        <v>1</v>
      </c>
      <c r="G1132" s="33">
        <v>32874</v>
      </c>
      <c r="H1132" s="30">
        <v>41362</v>
      </c>
      <c r="I1132" s="1"/>
      <c r="J1132" s="1"/>
      <c r="K1132" s="1"/>
      <c r="L1132" s="1"/>
      <c r="M1132" s="1"/>
      <c r="P1132" s="3"/>
      <c r="R1132" s="1"/>
      <c r="S1132" s="1"/>
    </row>
    <row r="1133" spans="1:19" x14ac:dyDescent="0.65">
      <c r="A1133" s="34">
        <v>1132</v>
      </c>
      <c r="B1133" s="3" t="s">
        <v>3458</v>
      </c>
      <c r="C1133" s="1" t="s">
        <v>3459</v>
      </c>
      <c r="D1133" s="1">
        <v>77</v>
      </c>
      <c r="E1133" s="2" t="s">
        <v>3460</v>
      </c>
      <c r="F1133" s="3">
        <v>1</v>
      </c>
      <c r="G1133" s="33">
        <v>32874</v>
      </c>
      <c r="H1133" s="30">
        <v>43318</v>
      </c>
      <c r="I1133" s="1"/>
      <c r="J1133" s="1"/>
      <c r="K1133" s="1"/>
      <c r="L1133" s="1"/>
      <c r="M1133" s="1"/>
      <c r="P1133" s="3"/>
      <c r="R1133" s="1"/>
      <c r="S1133" s="1"/>
    </row>
    <row r="1134" spans="1:19" x14ac:dyDescent="0.65">
      <c r="A1134" s="34">
        <v>1133</v>
      </c>
      <c r="B1134" s="3" t="s">
        <v>3461</v>
      </c>
      <c r="C1134" s="1" t="s">
        <v>3462</v>
      </c>
      <c r="D1134" s="1">
        <v>77</v>
      </c>
      <c r="E1134" s="2" t="s">
        <v>3463</v>
      </c>
      <c r="F1134" s="3">
        <v>1</v>
      </c>
      <c r="G1134" s="33">
        <v>32874</v>
      </c>
      <c r="H1134" s="30">
        <v>43319</v>
      </c>
      <c r="I1134" s="1"/>
      <c r="J1134" s="1"/>
      <c r="K1134" s="1"/>
      <c r="L1134" s="1"/>
      <c r="M1134" s="1"/>
      <c r="P1134" s="3"/>
      <c r="R1134" s="1"/>
      <c r="S1134" s="1"/>
    </row>
    <row r="1135" spans="1:19" x14ac:dyDescent="0.65">
      <c r="A1135" s="34">
        <v>1134</v>
      </c>
      <c r="B1135" s="3" t="s">
        <v>3464</v>
      </c>
      <c r="C1135" s="1" t="s">
        <v>3465</v>
      </c>
      <c r="D1135" s="1">
        <v>77</v>
      </c>
      <c r="E1135" s="2" t="s">
        <v>3466</v>
      </c>
      <c r="F1135" s="3">
        <v>1</v>
      </c>
      <c r="G1135" s="33">
        <v>32874</v>
      </c>
      <c r="H1135" s="30">
        <v>43837</v>
      </c>
      <c r="I1135" s="1"/>
      <c r="J1135" s="1"/>
      <c r="K1135" s="1"/>
      <c r="L1135" s="1"/>
      <c r="M1135" s="1"/>
      <c r="P1135" s="3"/>
      <c r="R1135" s="1"/>
      <c r="S1135" s="1"/>
    </row>
    <row r="1136" spans="1:19" x14ac:dyDescent="0.65">
      <c r="A1136" s="34">
        <v>1135</v>
      </c>
      <c r="B1136" s="3" t="s">
        <v>3467</v>
      </c>
      <c r="C1136" s="1" t="s">
        <v>3468</v>
      </c>
      <c r="D1136" s="1">
        <v>77</v>
      </c>
      <c r="E1136" s="2" t="s">
        <v>3469</v>
      </c>
      <c r="F1136" s="3">
        <v>1</v>
      </c>
      <c r="G1136" s="33">
        <v>32874</v>
      </c>
      <c r="H1136" s="30">
        <v>41365</v>
      </c>
      <c r="I1136" s="1"/>
      <c r="J1136" s="1"/>
      <c r="K1136" s="1"/>
      <c r="L1136" s="1"/>
      <c r="M1136" s="1"/>
      <c r="P1136" s="3"/>
      <c r="R1136" s="1"/>
      <c r="S1136" s="1"/>
    </row>
    <row r="1137" spans="1:19" x14ac:dyDescent="0.65">
      <c r="A1137" s="34">
        <v>1136</v>
      </c>
      <c r="B1137" s="3" t="s">
        <v>3470</v>
      </c>
      <c r="C1137" s="1" t="s">
        <v>3471</v>
      </c>
      <c r="D1137" s="1">
        <v>77</v>
      </c>
      <c r="E1137" s="2" t="s">
        <v>3472</v>
      </c>
      <c r="F1137" s="3">
        <v>1</v>
      </c>
      <c r="G1137" s="33">
        <v>32874</v>
      </c>
      <c r="H1137" s="30">
        <v>41365</v>
      </c>
      <c r="I1137" s="1"/>
      <c r="J1137" s="1"/>
      <c r="K1137" s="1"/>
      <c r="L1137" s="1"/>
      <c r="M1137" s="1"/>
      <c r="P1137" s="3"/>
      <c r="R1137" s="1"/>
      <c r="S1137" s="1"/>
    </row>
    <row r="1138" spans="1:19" x14ac:dyDescent="0.65">
      <c r="A1138" s="34">
        <v>1137</v>
      </c>
      <c r="B1138" s="3" t="s">
        <v>3473</v>
      </c>
      <c r="C1138" s="1" t="s">
        <v>3474</v>
      </c>
      <c r="D1138" s="1">
        <v>77</v>
      </c>
      <c r="E1138" s="2" t="s">
        <v>3475</v>
      </c>
      <c r="F1138" s="3">
        <v>1</v>
      </c>
      <c r="G1138" s="33">
        <v>32874</v>
      </c>
      <c r="H1138" s="30">
        <v>41362</v>
      </c>
      <c r="I1138" s="1"/>
      <c r="J1138" s="1"/>
      <c r="K1138" s="1"/>
      <c r="L1138" s="1"/>
      <c r="M1138" s="1"/>
      <c r="P1138" s="3"/>
      <c r="R1138" s="1"/>
      <c r="S1138" s="1"/>
    </row>
    <row r="1139" spans="1:19" x14ac:dyDescent="0.65">
      <c r="A1139" s="34">
        <v>1138</v>
      </c>
      <c r="B1139" s="3" t="s">
        <v>3476</v>
      </c>
      <c r="C1139" s="1" t="s">
        <v>3477</v>
      </c>
      <c r="D1139" s="1">
        <v>77</v>
      </c>
      <c r="E1139" s="2" t="s">
        <v>3478</v>
      </c>
      <c r="F1139" s="3">
        <v>1</v>
      </c>
      <c r="G1139" s="33">
        <v>32874</v>
      </c>
      <c r="H1139" s="30">
        <v>41365</v>
      </c>
      <c r="I1139" s="1"/>
      <c r="J1139" s="1"/>
      <c r="K1139" s="1"/>
      <c r="L1139" s="1"/>
      <c r="M1139" s="1"/>
      <c r="P1139" s="3"/>
      <c r="R1139" s="1"/>
      <c r="S1139" s="1"/>
    </row>
    <row r="1140" spans="1:19" x14ac:dyDescent="0.65">
      <c r="A1140" s="34">
        <v>1139</v>
      </c>
      <c r="B1140" s="3" t="s">
        <v>3479</v>
      </c>
      <c r="C1140" s="1" t="s">
        <v>3480</v>
      </c>
      <c r="D1140" s="1">
        <v>76</v>
      </c>
      <c r="E1140" s="2" t="s">
        <v>3481</v>
      </c>
      <c r="F1140" s="3">
        <v>1</v>
      </c>
      <c r="G1140" s="33">
        <v>32874</v>
      </c>
      <c r="H1140" s="30">
        <v>42928</v>
      </c>
      <c r="I1140" s="1"/>
      <c r="J1140" s="1"/>
      <c r="K1140" s="1"/>
      <c r="L1140" s="1"/>
      <c r="M1140" s="1"/>
      <c r="P1140" s="3"/>
      <c r="R1140" s="1"/>
      <c r="S1140" s="1"/>
    </row>
    <row r="1141" spans="1:19" x14ac:dyDescent="0.65">
      <c r="A1141" s="34">
        <v>1140</v>
      </c>
      <c r="B1141" s="3" t="s">
        <v>3482</v>
      </c>
      <c r="C1141" s="1" t="s">
        <v>3483</v>
      </c>
      <c r="D1141" s="1">
        <v>76</v>
      </c>
      <c r="E1141" s="2" t="s">
        <v>3484</v>
      </c>
      <c r="F1141" s="3">
        <v>1</v>
      </c>
      <c r="G1141" s="33">
        <v>32874</v>
      </c>
      <c r="H1141" s="30">
        <v>42921</v>
      </c>
      <c r="I1141" s="1"/>
      <c r="J1141" s="1"/>
      <c r="K1141" s="1"/>
      <c r="L1141" s="1"/>
      <c r="M1141" s="1"/>
      <c r="P1141" s="3"/>
      <c r="R1141" s="1"/>
      <c r="S1141" s="1"/>
    </row>
    <row r="1142" spans="1:19" x14ac:dyDescent="0.65">
      <c r="A1142" s="34">
        <v>1141</v>
      </c>
      <c r="B1142" s="3" t="s">
        <v>3485</v>
      </c>
      <c r="C1142" s="1" t="s">
        <v>3486</v>
      </c>
      <c r="D1142" s="1">
        <v>77</v>
      </c>
      <c r="E1142" s="2" t="s">
        <v>3487</v>
      </c>
      <c r="F1142" s="3">
        <v>1</v>
      </c>
      <c r="G1142" s="33">
        <v>32874</v>
      </c>
      <c r="H1142" s="30">
        <v>41782</v>
      </c>
      <c r="I1142" s="1"/>
      <c r="J1142" s="1"/>
      <c r="K1142" s="1"/>
      <c r="L1142" s="1"/>
      <c r="M1142" s="1"/>
      <c r="P1142" s="3"/>
      <c r="R1142" s="1"/>
      <c r="S1142" s="1"/>
    </row>
    <row r="1143" spans="1:19" x14ac:dyDescent="0.65">
      <c r="A1143" s="34">
        <v>1142</v>
      </c>
      <c r="B1143" s="3" t="s">
        <v>3488</v>
      </c>
      <c r="C1143" s="1" t="s">
        <v>3489</v>
      </c>
      <c r="D1143" s="1">
        <v>76</v>
      </c>
      <c r="E1143" s="2" t="s">
        <v>3490</v>
      </c>
      <c r="F1143" s="3">
        <v>1</v>
      </c>
      <c r="G1143" s="33">
        <v>32874</v>
      </c>
      <c r="H1143" s="30">
        <v>45464</v>
      </c>
      <c r="I1143" s="1"/>
      <c r="J1143" s="1"/>
      <c r="K1143" s="1"/>
      <c r="L1143" s="1"/>
      <c r="M1143" s="1"/>
      <c r="P1143" s="3"/>
      <c r="R1143" s="1"/>
      <c r="S1143" s="1"/>
    </row>
    <row r="1144" spans="1:19" x14ac:dyDescent="0.65">
      <c r="A1144" s="34">
        <v>1143</v>
      </c>
      <c r="B1144" s="3" t="s">
        <v>3491</v>
      </c>
      <c r="C1144" s="1" t="s">
        <v>3492</v>
      </c>
      <c r="D1144" s="1">
        <v>77</v>
      </c>
      <c r="E1144" s="2" t="s">
        <v>3493</v>
      </c>
      <c r="F1144" s="3">
        <v>1</v>
      </c>
      <c r="G1144" s="33">
        <v>32874</v>
      </c>
      <c r="H1144" s="30">
        <v>42508</v>
      </c>
      <c r="I1144" s="1"/>
      <c r="J1144" s="1"/>
      <c r="K1144" s="1"/>
      <c r="L1144" s="1"/>
      <c r="M1144" s="1"/>
      <c r="P1144" s="3"/>
      <c r="R1144" s="1"/>
      <c r="S1144" s="1"/>
    </row>
    <row r="1145" spans="1:19" x14ac:dyDescent="0.65">
      <c r="A1145" s="34">
        <v>1144</v>
      </c>
      <c r="B1145" s="3" t="s">
        <v>3494</v>
      </c>
      <c r="C1145" s="1" t="s">
        <v>3495</v>
      </c>
      <c r="D1145" s="1">
        <v>77</v>
      </c>
      <c r="E1145" s="2" t="s">
        <v>3496</v>
      </c>
      <c r="F1145" s="3">
        <v>1</v>
      </c>
      <c r="G1145" s="33">
        <v>32874</v>
      </c>
      <c r="H1145" s="30">
        <v>45321</v>
      </c>
      <c r="I1145" s="1"/>
      <c r="J1145" s="1"/>
      <c r="K1145" s="1"/>
      <c r="L1145" s="1"/>
      <c r="M1145" s="1"/>
      <c r="P1145" s="3"/>
      <c r="R1145" s="1"/>
      <c r="S1145" s="1"/>
    </row>
    <row r="1146" spans="1:19" x14ac:dyDescent="0.65">
      <c r="A1146" s="34">
        <v>1145</v>
      </c>
      <c r="B1146" s="3" t="s">
        <v>3497</v>
      </c>
      <c r="C1146" s="1" t="s">
        <v>3498</v>
      </c>
      <c r="D1146" s="1">
        <v>76</v>
      </c>
      <c r="E1146" s="2" t="s">
        <v>3499</v>
      </c>
      <c r="F1146" s="3">
        <v>1</v>
      </c>
      <c r="G1146" s="33">
        <v>32874</v>
      </c>
      <c r="H1146" s="30">
        <v>43251</v>
      </c>
      <c r="I1146" s="1"/>
      <c r="J1146" s="1"/>
      <c r="K1146" s="1"/>
      <c r="L1146" s="1"/>
      <c r="M1146" s="1"/>
      <c r="P1146" s="3"/>
      <c r="R1146" s="1"/>
      <c r="S1146" s="1"/>
    </row>
    <row r="1147" spans="1:19" x14ac:dyDescent="0.65">
      <c r="A1147" s="34">
        <v>1146</v>
      </c>
      <c r="B1147" s="3" t="s">
        <v>3500</v>
      </c>
      <c r="C1147" s="1" t="s">
        <v>3501</v>
      </c>
      <c r="D1147" s="1">
        <v>77</v>
      </c>
      <c r="E1147" s="2" t="s">
        <v>3502</v>
      </c>
      <c r="F1147" s="3">
        <v>1</v>
      </c>
      <c r="G1147" s="33">
        <v>32874</v>
      </c>
      <c r="H1147" s="30">
        <v>43376</v>
      </c>
      <c r="I1147" s="1"/>
      <c r="J1147" s="1"/>
      <c r="K1147" s="1"/>
      <c r="L1147" s="1"/>
      <c r="M1147" s="1"/>
      <c r="P1147" s="3"/>
      <c r="R1147" s="1"/>
      <c r="S1147" s="1"/>
    </row>
    <row r="1148" spans="1:19" x14ac:dyDescent="0.65">
      <c r="A1148" s="34">
        <v>1147</v>
      </c>
      <c r="B1148" s="3" t="s">
        <v>3503</v>
      </c>
      <c r="C1148" s="1" t="s">
        <v>3504</v>
      </c>
      <c r="D1148" s="1">
        <v>77</v>
      </c>
      <c r="E1148" s="2" t="s">
        <v>3505</v>
      </c>
      <c r="F1148" s="3">
        <v>1</v>
      </c>
      <c r="G1148" s="33">
        <v>32874</v>
      </c>
      <c r="H1148" s="30">
        <v>43444</v>
      </c>
      <c r="I1148" s="1"/>
      <c r="J1148" s="1"/>
      <c r="K1148" s="1"/>
      <c r="L1148" s="1"/>
      <c r="M1148" s="1"/>
      <c r="P1148" s="3"/>
      <c r="R1148" s="1"/>
      <c r="S1148" s="1"/>
    </row>
    <row r="1149" spans="1:19" x14ac:dyDescent="0.65">
      <c r="A1149" s="34">
        <v>1148</v>
      </c>
      <c r="B1149" s="3" t="s">
        <v>3506</v>
      </c>
      <c r="C1149" s="1" t="s">
        <v>3507</v>
      </c>
      <c r="D1149" s="1">
        <v>77</v>
      </c>
      <c r="E1149" s="2" t="s">
        <v>3508</v>
      </c>
      <c r="F1149" s="3">
        <v>1</v>
      </c>
      <c r="G1149" s="33">
        <v>32874</v>
      </c>
      <c r="H1149" s="30">
        <v>43444</v>
      </c>
      <c r="I1149" s="1"/>
      <c r="J1149" s="1"/>
      <c r="K1149" s="1"/>
      <c r="L1149" s="1"/>
      <c r="M1149" s="1"/>
      <c r="P1149" s="3"/>
      <c r="R1149" s="1"/>
      <c r="S1149" s="1"/>
    </row>
    <row r="1150" spans="1:19" x14ac:dyDescent="0.65">
      <c r="A1150" s="34">
        <v>1149</v>
      </c>
      <c r="B1150" s="3" t="s">
        <v>3509</v>
      </c>
      <c r="C1150" s="1" t="s">
        <v>3510</v>
      </c>
      <c r="D1150" s="1">
        <v>77</v>
      </c>
      <c r="E1150" s="2" t="s">
        <v>3511</v>
      </c>
      <c r="F1150" s="3">
        <v>1</v>
      </c>
      <c r="G1150" s="33">
        <v>32874</v>
      </c>
      <c r="H1150" s="30">
        <v>43444</v>
      </c>
      <c r="I1150" s="1"/>
      <c r="J1150" s="1"/>
      <c r="K1150" s="1"/>
      <c r="L1150" s="1"/>
      <c r="M1150" s="1"/>
      <c r="P1150" s="3"/>
      <c r="R1150" s="1"/>
      <c r="S1150" s="1"/>
    </row>
    <row r="1151" spans="1:19" x14ac:dyDescent="0.65">
      <c r="A1151" s="34">
        <v>1150</v>
      </c>
      <c r="B1151" s="3" t="s">
        <v>3512</v>
      </c>
      <c r="C1151" s="1" t="s">
        <v>3513</v>
      </c>
      <c r="D1151" s="1">
        <v>77</v>
      </c>
      <c r="E1151" s="2" t="s">
        <v>3514</v>
      </c>
      <c r="F1151" s="3">
        <v>1</v>
      </c>
      <c r="G1151" s="33">
        <v>32874</v>
      </c>
      <c r="H1151" s="30">
        <v>43444</v>
      </c>
      <c r="I1151" s="1"/>
      <c r="J1151" s="1"/>
      <c r="K1151" s="1"/>
      <c r="L1151" s="1"/>
      <c r="M1151" s="1"/>
      <c r="P1151" s="3"/>
      <c r="R1151" s="1"/>
      <c r="S1151" s="1"/>
    </row>
    <row r="1152" spans="1:19" x14ac:dyDescent="0.65">
      <c r="A1152" s="34">
        <v>1151</v>
      </c>
      <c r="B1152" s="3" t="s">
        <v>3515</v>
      </c>
      <c r="C1152" s="1" t="s">
        <v>3516</v>
      </c>
      <c r="D1152" s="1">
        <v>77</v>
      </c>
      <c r="E1152" s="2" t="s">
        <v>3517</v>
      </c>
      <c r="F1152" s="3">
        <v>1</v>
      </c>
      <c r="G1152" s="33">
        <v>32874</v>
      </c>
      <c r="H1152" s="30">
        <v>43726</v>
      </c>
      <c r="I1152" s="1"/>
      <c r="J1152" s="1"/>
      <c r="K1152" s="1"/>
      <c r="L1152" s="1"/>
      <c r="M1152" s="1"/>
      <c r="P1152" s="3"/>
      <c r="R1152" s="1"/>
      <c r="S1152" s="1"/>
    </row>
    <row r="1153" spans="1:19" x14ac:dyDescent="0.65">
      <c r="A1153" s="34">
        <v>1152</v>
      </c>
      <c r="B1153" s="3" t="s">
        <v>3518</v>
      </c>
      <c r="C1153" s="1" t="s">
        <v>3519</v>
      </c>
      <c r="D1153" s="1">
        <v>77</v>
      </c>
      <c r="E1153" s="2" t="s">
        <v>3520</v>
      </c>
      <c r="F1153" s="3">
        <v>1</v>
      </c>
      <c r="G1153" s="33">
        <v>32874</v>
      </c>
      <c r="H1153" s="30">
        <v>43742</v>
      </c>
      <c r="I1153" s="1"/>
      <c r="J1153" s="1"/>
      <c r="K1153" s="1"/>
      <c r="L1153" s="1"/>
      <c r="M1153" s="1"/>
      <c r="P1153" s="3"/>
      <c r="R1153" s="1"/>
      <c r="S1153" s="1"/>
    </row>
    <row r="1154" spans="1:19" x14ac:dyDescent="0.65">
      <c r="A1154" s="34">
        <v>1153</v>
      </c>
      <c r="B1154" s="3" t="s">
        <v>3521</v>
      </c>
      <c r="C1154" s="1" t="s">
        <v>3522</v>
      </c>
      <c r="D1154" s="1">
        <v>77</v>
      </c>
      <c r="E1154" s="2" t="s">
        <v>3523</v>
      </c>
      <c r="F1154" s="3">
        <v>1</v>
      </c>
      <c r="G1154" s="33">
        <v>32874</v>
      </c>
      <c r="H1154" s="30">
        <v>43726</v>
      </c>
      <c r="I1154" s="1"/>
      <c r="J1154" s="1"/>
      <c r="K1154" s="1"/>
      <c r="L1154" s="1"/>
      <c r="M1154" s="1"/>
      <c r="P1154" s="3"/>
      <c r="R1154" s="1"/>
      <c r="S1154" s="1"/>
    </row>
    <row r="1155" spans="1:19" x14ac:dyDescent="0.65">
      <c r="A1155" s="34">
        <v>1154</v>
      </c>
      <c r="B1155" s="3" t="s">
        <v>3524</v>
      </c>
      <c r="C1155" s="1" t="s">
        <v>3525</v>
      </c>
      <c r="D1155" s="1">
        <v>77</v>
      </c>
      <c r="E1155" s="2" t="s">
        <v>3526</v>
      </c>
      <c r="F1155" s="3">
        <v>1</v>
      </c>
      <c r="G1155" s="33">
        <v>32874</v>
      </c>
      <c r="H1155" s="30">
        <v>43514</v>
      </c>
      <c r="I1155" s="1"/>
      <c r="J1155" s="1"/>
      <c r="K1155" s="1"/>
      <c r="L1155" s="1"/>
      <c r="M1155" s="1"/>
      <c r="P1155" s="3"/>
      <c r="R1155" s="1"/>
      <c r="S1155" s="1"/>
    </row>
    <row r="1156" spans="1:19" x14ac:dyDescent="0.65">
      <c r="A1156" s="34">
        <v>1155</v>
      </c>
      <c r="B1156" s="3" t="s">
        <v>3527</v>
      </c>
      <c r="C1156" s="1" t="s">
        <v>3528</v>
      </c>
      <c r="D1156" s="1">
        <v>77</v>
      </c>
      <c r="E1156" s="2" t="s">
        <v>3529</v>
      </c>
      <c r="F1156" s="3">
        <v>1</v>
      </c>
      <c r="G1156" s="33">
        <v>32874</v>
      </c>
      <c r="H1156" s="30">
        <v>43711</v>
      </c>
      <c r="I1156" s="1"/>
      <c r="J1156" s="1"/>
      <c r="K1156" s="1"/>
      <c r="L1156" s="1"/>
      <c r="M1156" s="1"/>
      <c r="P1156" s="3"/>
      <c r="R1156" s="1"/>
      <c r="S1156" s="1"/>
    </row>
    <row r="1157" spans="1:19" x14ac:dyDescent="0.65">
      <c r="A1157" s="34">
        <v>1156</v>
      </c>
      <c r="B1157" s="3" t="s">
        <v>3530</v>
      </c>
      <c r="C1157" s="1" t="s">
        <v>3531</v>
      </c>
      <c r="D1157" s="1">
        <v>77</v>
      </c>
      <c r="E1157" s="2" t="s">
        <v>3532</v>
      </c>
      <c r="F1157" s="3">
        <v>1</v>
      </c>
      <c r="G1157" s="33">
        <v>32874</v>
      </c>
      <c r="H1157" s="30">
        <v>43738</v>
      </c>
      <c r="I1157" s="1"/>
      <c r="J1157" s="1"/>
      <c r="K1157" s="1"/>
      <c r="L1157" s="1"/>
      <c r="M1157" s="1"/>
      <c r="P1157" s="3"/>
      <c r="R1157" s="1"/>
      <c r="S1157" s="1"/>
    </row>
    <row r="1158" spans="1:19" x14ac:dyDescent="0.65">
      <c r="A1158" s="34">
        <v>1157</v>
      </c>
      <c r="B1158" s="3" t="s">
        <v>3533</v>
      </c>
      <c r="C1158" s="1" t="s">
        <v>3534</v>
      </c>
      <c r="D1158" s="1">
        <v>76</v>
      </c>
      <c r="E1158" s="2" t="s">
        <v>3535</v>
      </c>
      <c r="F1158" s="3">
        <v>1</v>
      </c>
      <c r="G1158" s="33">
        <v>32874</v>
      </c>
      <c r="H1158" s="30">
        <v>43742</v>
      </c>
      <c r="I1158" s="1"/>
      <c r="J1158" s="1"/>
      <c r="K1158" s="1"/>
      <c r="L1158" s="1"/>
      <c r="M1158" s="1"/>
      <c r="P1158" s="3"/>
      <c r="R1158" s="1"/>
      <c r="S1158" s="1"/>
    </row>
    <row r="1159" spans="1:19" x14ac:dyDescent="0.65">
      <c r="A1159" s="34">
        <v>1158</v>
      </c>
      <c r="B1159" s="3" t="s">
        <v>3536</v>
      </c>
      <c r="C1159" s="1" t="s">
        <v>3537</v>
      </c>
      <c r="D1159" s="1">
        <v>76</v>
      </c>
      <c r="E1159" s="2" t="s">
        <v>3538</v>
      </c>
      <c r="F1159" s="3">
        <v>1</v>
      </c>
      <c r="G1159" s="33">
        <v>32874</v>
      </c>
      <c r="H1159" s="30">
        <v>43747</v>
      </c>
      <c r="I1159" s="1"/>
      <c r="J1159" s="1"/>
      <c r="K1159" s="1"/>
      <c r="L1159" s="1"/>
      <c r="M1159" s="1"/>
      <c r="P1159" s="3"/>
      <c r="R1159" s="1"/>
      <c r="S1159" s="1"/>
    </row>
    <row r="1160" spans="1:19" x14ac:dyDescent="0.65">
      <c r="A1160" s="34">
        <v>1159</v>
      </c>
      <c r="B1160" s="3" t="s">
        <v>3539</v>
      </c>
      <c r="C1160" s="1" t="s">
        <v>3540</v>
      </c>
      <c r="D1160" s="1">
        <v>76</v>
      </c>
      <c r="E1160" s="2" t="s">
        <v>3541</v>
      </c>
      <c r="F1160" s="3">
        <v>1</v>
      </c>
      <c r="G1160" s="33">
        <v>32874</v>
      </c>
      <c r="H1160" s="30">
        <v>43823</v>
      </c>
      <c r="I1160" s="1"/>
      <c r="J1160" s="1"/>
      <c r="K1160" s="1"/>
      <c r="L1160" s="1"/>
      <c r="M1160" s="1"/>
      <c r="P1160" s="3"/>
      <c r="R1160" s="1"/>
      <c r="S1160" s="1"/>
    </row>
    <row r="1161" spans="1:19" x14ac:dyDescent="0.65">
      <c r="A1161" s="34">
        <v>1160</v>
      </c>
      <c r="B1161" s="3" t="s">
        <v>3542</v>
      </c>
      <c r="C1161" s="1" t="s">
        <v>3543</v>
      </c>
      <c r="D1161" s="1">
        <v>76</v>
      </c>
      <c r="E1161" s="2" t="s">
        <v>3544</v>
      </c>
      <c r="F1161" s="3">
        <v>1</v>
      </c>
      <c r="G1161" s="33">
        <v>32874</v>
      </c>
      <c r="H1161" s="30">
        <v>44132</v>
      </c>
      <c r="I1161" s="1"/>
      <c r="J1161" s="1"/>
      <c r="K1161" s="1"/>
      <c r="L1161" s="1"/>
      <c r="M1161" s="1"/>
      <c r="P1161" s="3"/>
      <c r="R1161" s="1"/>
      <c r="S1161" s="1"/>
    </row>
    <row r="1162" spans="1:19" x14ac:dyDescent="0.65">
      <c r="A1162" s="34">
        <v>1161</v>
      </c>
      <c r="B1162" s="3" t="s">
        <v>3545</v>
      </c>
      <c r="C1162" s="1" t="s">
        <v>3546</v>
      </c>
      <c r="D1162" s="1">
        <v>76</v>
      </c>
      <c r="E1162" s="2" t="s">
        <v>3547</v>
      </c>
      <c r="F1162" s="3">
        <v>1</v>
      </c>
      <c r="G1162" s="33">
        <v>32874</v>
      </c>
      <c r="H1162" s="30">
        <v>44223</v>
      </c>
      <c r="I1162" s="1"/>
      <c r="J1162" s="1"/>
      <c r="K1162" s="1"/>
      <c r="L1162" s="1"/>
      <c r="M1162" s="1"/>
      <c r="P1162" s="3"/>
      <c r="R1162" s="1"/>
      <c r="S1162" s="1"/>
    </row>
    <row r="1163" spans="1:19" x14ac:dyDescent="0.65">
      <c r="A1163" s="34">
        <v>1162</v>
      </c>
      <c r="B1163" s="3" t="s">
        <v>3548</v>
      </c>
      <c r="C1163" s="1" t="s">
        <v>3549</v>
      </c>
      <c r="D1163" s="1">
        <v>77</v>
      </c>
      <c r="E1163" s="2" t="s">
        <v>3550</v>
      </c>
      <c r="F1163" s="3">
        <v>1</v>
      </c>
      <c r="G1163" s="33">
        <v>32874</v>
      </c>
      <c r="H1163" s="30">
        <v>44348</v>
      </c>
      <c r="I1163" s="1"/>
      <c r="J1163" s="1"/>
      <c r="K1163" s="1"/>
      <c r="L1163" s="1"/>
      <c r="M1163" s="1"/>
      <c r="P1163" s="3"/>
      <c r="R1163" s="1"/>
      <c r="S1163" s="1"/>
    </row>
    <row r="1164" spans="1:19" x14ac:dyDescent="0.65">
      <c r="A1164" s="34">
        <v>1163</v>
      </c>
      <c r="B1164" s="3" t="s">
        <v>3551</v>
      </c>
      <c r="C1164" s="1" t="s">
        <v>3230</v>
      </c>
      <c r="D1164" s="1">
        <v>76</v>
      </c>
      <c r="E1164" s="2" t="s">
        <v>3552</v>
      </c>
      <c r="F1164" s="3">
        <v>1</v>
      </c>
      <c r="G1164" s="33">
        <v>32874</v>
      </c>
      <c r="H1164" s="30">
        <v>45002</v>
      </c>
      <c r="I1164" s="1"/>
      <c r="J1164" s="1"/>
      <c r="K1164" s="1"/>
      <c r="L1164" s="1"/>
      <c r="M1164" s="1"/>
      <c r="P1164" s="3"/>
      <c r="R1164" s="1"/>
      <c r="S1164" s="1"/>
    </row>
    <row r="1165" spans="1:19" x14ac:dyDescent="0.65">
      <c r="A1165" s="34">
        <v>1164</v>
      </c>
      <c r="B1165" s="3" t="s">
        <v>3553</v>
      </c>
      <c r="C1165" s="1" t="s">
        <v>3554</v>
      </c>
      <c r="D1165" s="1">
        <v>76</v>
      </c>
      <c r="E1165" s="2" t="s">
        <v>3555</v>
      </c>
      <c r="F1165" s="3">
        <v>1</v>
      </c>
      <c r="G1165" s="33">
        <v>32874</v>
      </c>
      <c r="H1165" s="30">
        <v>45005</v>
      </c>
      <c r="I1165" s="1"/>
      <c r="J1165" s="1"/>
      <c r="K1165" s="1"/>
      <c r="L1165" s="1"/>
      <c r="M1165" s="1"/>
      <c r="P1165" s="3"/>
      <c r="R1165" s="1"/>
      <c r="S1165" s="1"/>
    </row>
    <row r="1166" spans="1:19" x14ac:dyDescent="0.65">
      <c r="A1166" s="34">
        <v>1165</v>
      </c>
      <c r="B1166" s="3" t="s">
        <v>3556</v>
      </c>
      <c r="C1166" s="1" t="s">
        <v>3557</v>
      </c>
      <c r="D1166" s="1">
        <v>77</v>
      </c>
      <c r="E1166" s="2" t="s">
        <v>3558</v>
      </c>
      <c r="F1166" s="3">
        <v>1</v>
      </c>
      <c r="G1166" s="33">
        <v>32874</v>
      </c>
      <c r="H1166" s="30">
        <v>45131</v>
      </c>
      <c r="I1166" s="1"/>
      <c r="J1166" s="1"/>
      <c r="K1166" s="1"/>
      <c r="L1166" s="1"/>
      <c r="M1166" s="1"/>
      <c r="P1166" s="3"/>
      <c r="R1166" s="1"/>
      <c r="S1166" s="1"/>
    </row>
    <row r="1167" spans="1:19" x14ac:dyDescent="0.65">
      <c r="A1167" s="34">
        <v>1166</v>
      </c>
      <c r="B1167" s="3" t="s">
        <v>3559</v>
      </c>
      <c r="C1167" s="1" t="s">
        <v>3560</v>
      </c>
      <c r="D1167" s="1">
        <v>76</v>
      </c>
      <c r="E1167" s="2" t="s">
        <v>3561</v>
      </c>
      <c r="F1167" s="3">
        <v>1</v>
      </c>
      <c r="G1167" s="33">
        <v>32874</v>
      </c>
      <c r="H1167" s="30">
        <v>45824.664664351854</v>
      </c>
      <c r="I1167" s="1"/>
      <c r="J1167" s="1"/>
      <c r="K1167" s="1"/>
      <c r="L1167" s="1"/>
      <c r="M1167" s="1"/>
      <c r="P1167" s="3"/>
      <c r="R1167" s="1"/>
      <c r="S1167" s="1"/>
    </row>
    <row r="1168" spans="1:19" x14ac:dyDescent="0.65">
      <c r="A1168" s="34">
        <v>1167</v>
      </c>
      <c r="B1168" s="3" t="s">
        <v>3562</v>
      </c>
      <c r="C1168" s="1" t="s">
        <v>3563</v>
      </c>
      <c r="D1168" s="1">
        <v>76</v>
      </c>
      <c r="E1168" s="2" t="s">
        <v>3564</v>
      </c>
      <c r="F1168" s="3">
        <v>1</v>
      </c>
      <c r="G1168" s="33">
        <v>32874</v>
      </c>
      <c r="H1168" s="30">
        <v>45824.664664351854</v>
      </c>
      <c r="I1168" s="1"/>
      <c r="J1168" s="1"/>
      <c r="K1168" s="1"/>
      <c r="L1168" s="1"/>
      <c r="M1168" s="1"/>
      <c r="P1168" s="3"/>
      <c r="R1168" s="1"/>
      <c r="S1168" s="1"/>
    </row>
    <row r="1169" spans="1:19" x14ac:dyDescent="0.65">
      <c r="A1169" s="34">
        <v>1168</v>
      </c>
      <c r="B1169" s="3" t="s">
        <v>3565</v>
      </c>
      <c r="C1169" s="1" t="s">
        <v>3566</v>
      </c>
      <c r="D1169" s="1">
        <v>78</v>
      </c>
      <c r="E1169" s="2" t="s">
        <v>3567</v>
      </c>
      <c r="F1169" s="3">
        <v>1</v>
      </c>
      <c r="G1169" s="33">
        <v>32874</v>
      </c>
      <c r="H1169" s="30">
        <v>45377</v>
      </c>
      <c r="I1169" s="1"/>
      <c r="J1169" s="1"/>
      <c r="K1169" s="1"/>
      <c r="L1169" s="1"/>
      <c r="M1169" s="1"/>
      <c r="P1169" s="3"/>
      <c r="R1169" s="1"/>
      <c r="S1169" s="1"/>
    </row>
    <row r="1170" spans="1:19" x14ac:dyDescent="0.65">
      <c r="A1170" s="34">
        <v>1169</v>
      </c>
      <c r="B1170" s="3" t="s">
        <v>3569</v>
      </c>
      <c r="C1170" s="1" t="s">
        <v>3570</v>
      </c>
      <c r="D1170" s="1">
        <v>79</v>
      </c>
      <c r="E1170" s="2" t="s">
        <v>3571</v>
      </c>
      <c r="F1170" s="3">
        <v>1</v>
      </c>
      <c r="G1170" s="33">
        <v>32874</v>
      </c>
      <c r="H1170" s="30">
        <v>43522</v>
      </c>
      <c r="I1170" s="1"/>
      <c r="J1170" s="1"/>
      <c r="K1170" s="1"/>
      <c r="L1170" s="1"/>
      <c r="M1170" s="1"/>
      <c r="P1170" s="3"/>
      <c r="R1170" s="1"/>
      <c r="S1170" s="1"/>
    </row>
    <row r="1171" spans="1:19" x14ac:dyDescent="0.65">
      <c r="A1171" s="34">
        <v>1170</v>
      </c>
      <c r="B1171" s="3" t="s">
        <v>3572</v>
      </c>
      <c r="C1171" s="1" t="s">
        <v>3573</v>
      </c>
      <c r="D1171" s="1">
        <v>79</v>
      </c>
      <c r="E1171" s="2" t="s">
        <v>3574</v>
      </c>
      <c r="F1171" s="3">
        <v>1</v>
      </c>
      <c r="G1171" s="33">
        <v>32874</v>
      </c>
      <c r="H1171" s="30">
        <v>44874</v>
      </c>
      <c r="I1171" s="1"/>
      <c r="J1171" s="1"/>
      <c r="K1171" s="1"/>
      <c r="L1171" s="1"/>
      <c r="M1171" s="1"/>
      <c r="P1171" s="3"/>
      <c r="R1171" s="1"/>
      <c r="S1171" s="1"/>
    </row>
    <row r="1172" spans="1:19" x14ac:dyDescent="0.65">
      <c r="A1172" s="34">
        <v>1171</v>
      </c>
      <c r="B1172" s="3" t="s">
        <v>3575</v>
      </c>
      <c r="C1172" s="1" t="s">
        <v>2031</v>
      </c>
      <c r="D1172" s="1">
        <v>79</v>
      </c>
      <c r="E1172" s="2" t="s">
        <v>3576</v>
      </c>
      <c r="F1172" s="3">
        <v>1</v>
      </c>
      <c r="G1172" s="33">
        <v>32874</v>
      </c>
      <c r="H1172" s="30">
        <v>43522</v>
      </c>
      <c r="I1172" s="1"/>
      <c r="J1172" s="1"/>
      <c r="K1172" s="1"/>
      <c r="L1172" s="1"/>
      <c r="M1172" s="1"/>
      <c r="P1172" s="3"/>
      <c r="R1172" s="1"/>
      <c r="S1172" s="1"/>
    </row>
    <row r="1173" spans="1:19" x14ac:dyDescent="0.65">
      <c r="A1173" s="34">
        <v>1172</v>
      </c>
      <c r="B1173" s="3" t="s">
        <v>3577</v>
      </c>
      <c r="C1173" s="1" t="s">
        <v>3578</v>
      </c>
      <c r="D1173" s="1">
        <v>79</v>
      </c>
      <c r="E1173" s="2" t="s">
        <v>3579</v>
      </c>
      <c r="F1173" s="3">
        <v>1</v>
      </c>
      <c r="G1173" s="33">
        <v>32874</v>
      </c>
      <c r="H1173" s="30">
        <v>45737.623703703706</v>
      </c>
      <c r="I1173" s="1"/>
      <c r="J1173" s="1"/>
      <c r="K1173" s="1"/>
      <c r="L1173" s="1"/>
      <c r="M1173" s="1"/>
      <c r="P1173" s="3"/>
      <c r="R1173" s="1"/>
      <c r="S1173" s="1"/>
    </row>
    <row r="1174" spans="1:19" x14ac:dyDescent="0.65">
      <c r="A1174" s="34">
        <v>1173</v>
      </c>
      <c r="B1174" s="3" t="s">
        <v>3580</v>
      </c>
      <c r="C1174" s="1" t="s">
        <v>3581</v>
      </c>
      <c r="D1174" s="1">
        <v>79</v>
      </c>
      <c r="E1174" s="2" t="s">
        <v>3582</v>
      </c>
      <c r="F1174" s="3">
        <v>1</v>
      </c>
      <c r="G1174" s="33">
        <v>32874</v>
      </c>
      <c r="H1174" s="30">
        <v>41365</v>
      </c>
      <c r="I1174" s="1"/>
      <c r="J1174" s="1"/>
      <c r="K1174" s="1"/>
      <c r="L1174" s="1"/>
      <c r="M1174" s="1"/>
      <c r="P1174" s="3"/>
      <c r="R1174" s="1"/>
      <c r="S1174" s="1"/>
    </row>
    <row r="1175" spans="1:19" x14ac:dyDescent="0.65">
      <c r="A1175" s="34">
        <v>1174</v>
      </c>
      <c r="B1175" s="3" t="s">
        <v>3583</v>
      </c>
      <c r="C1175" s="1" t="s">
        <v>3584</v>
      </c>
      <c r="D1175" s="1">
        <v>78</v>
      </c>
      <c r="E1175" s="2" t="s">
        <v>3585</v>
      </c>
      <c r="F1175" s="3">
        <v>1</v>
      </c>
      <c r="G1175" s="33">
        <v>32874</v>
      </c>
      <c r="H1175" s="30">
        <v>45013</v>
      </c>
      <c r="I1175" s="1"/>
      <c r="J1175" s="1"/>
      <c r="K1175" s="1"/>
      <c r="L1175" s="1"/>
      <c r="M1175" s="1"/>
      <c r="P1175" s="3"/>
      <c r="R1175" s="1"/>
      <c r="S1175" s="1"/>
    </row>
    <row r="1176" spans="1:19" x14ac:dyDescent="0.65">
      <c r="A1176" s="34">
        <v>1175</v>
      </c>
      <c r="B1176" s="3" t="s">
        <v>3586</v>
      </c>
      <c r="C1176" s="1" t="s">
        <v>3587</v>
      </c>
      <c r="D1176" s="1">
        <v>78</v>
      </c>
      <c r="E1176" s="2" t="s">
        <v>3588</v>
      </c>
      <c r="F1176" s="3">
        <v>1</v>
      </c>
      <c r="G1176" s="33">
        <v>32874</v>
      </c>
      <c r="H1176" s="30">
        <v>41365</v>
      </c>
      <c r="I1176" s="1"/>
      <c r="J1176" s="1"/>
      <c r="K1176" s="1"/>
      <c r="L1176" s="1"/>
      <c r="M1176" s="1"/>
      <c r="P1176" s="3"/>
      <c r="R1176" s="1"/>
      <c r="S1176" s="1"/>
    </row>
    <row r="1177" spans="1:19" x14ac:dyDescent="0.65">
      <c r="A1177" s="34">
        <v>1176</v>
      </c>
      <c r="B1177" s="3" t="s">
        <v>3589</v>
      </c>
      <c r="C1177" s="1" t="s">
        <v>3590</v>
      </c>
      <c r="D1177" s="1">
        <v>79</v>
      </c>
      <c r="E1177" s="2" t="s">
        <v>3591</v>
      </c>
      <c r="F1177" s="3">
        <v>1</v>
      </c>
      <c r="G1177" s="33">
        <v>32874</v>
      </c>
      <c r="H1177" s="30">
        <v>44189</v>
      </c>
      <c r="I1177" s="1"/>
      <c r="J1177" s="1"/>
      <c r="K1177" s="1"/>
      <c r="L1177" s="1"/>
      <c r="M1177" s="1"/>
      <c r="P1177" s="3"/>
      <c r="R1177" s="1"/>
      <c r="S1177" s="1"/>
    </row>
    <row r="1178" spans="1:19" x14ac:dyDescent="0.65">
      <c r="A1178" s="34">
        <v>1177</v>
      </c>
      <c r="B1178" s="3" t="s">
        <v>3592</v>
      </c>
      <c r="C1178" s="1" t="s">
        <v>3593</v>
      </c>
      <c r="D1178" s="1">
        <v>79</v>
      </c>
      <c r="E1178" s="2" t="s">
        <v>3594</v>
      </c>
      <c r="F1178" s="3">
        <v>1</v>
      </c>
      <c r="G1178" s="33">
        <v>32874</v>
      </c>
      <c r="H1178" s="30">
        <v>41589</v>
      </c>
      <c r="I1178" s="1"/>
      <c r="J1178" s="1"/>
      <c r="K1178" s="1"/>
      <c r="L1178" s="1"/>
      <c r="M1178" s="1"/>
      <c r="P1178" s="3"/>
      <c r="R1178" s="1"/>
      <c r="S1178" s="1"/>
    </row>
    <row r="1179" spans="1:19" x14ac:dyDescent="0.65">
      <c r="A1179" s="34">
        <v>1178</v>
      </c>
      <c r="B1179" s="3" t="s">
        <v>3595</v>
      </c>
      <c r="C1179" s="1" t="s">
        <v>3596</v>
      </c>
      <c r="D1179" s="1">
        <v>79</v>
      </c>
      <c r="E1179" s="2" t="s">
        <v>3597</v>
      </c>
      <c r="F1179" s="3">
        <v>1</v>
      </c>
      <c r="G1179" s="33">
        <v>32874</v>
      </c>
      <c r="H1179" s="30">
        <v>44000</v>
      </c>
      <c r="I1179" s="1"/>
      <c r="J1179" s="1"/>
      <c r="K1179" s="1"/>
      <c r="L1179" s="1"/>
      <c r="M1179" s="1"/>
      <c r="P1179" s="3"/>
      <c r="R1179" s="1"/>
      <c r="S1179" s="1"/>
    </row>
    <row r="1180" spans="1:19" x14ac:dyDescent="0.65">
      <c r="A1180" s="34">
        <v>1179</v>
      </c>
      <c r="B1180" s="3" t="s">
        <v>3598</v>
      </c>
      <c r="C1180" s="1" t="s">
        <v>3599</v>
      </c>
      <c r="D1180" s="1">
        <v>78</v>
      </c>
      <c r="E1180" s="2" t="s">
        <v>3600</v>
      </c>
      <c r="F1180" s="3">
        <v>1</v>
      </c>
      <c r="G1180" s="33">
        <v>32874</v>
      </c>
      <c r="H1180" s="30">
        <v>41365</v>
      </c>
      <c r="I1180" s="1"/>
      <c r="J1180" s="1"/>
      <c r="K1180" s="1"/>
      <c r="L1180" s="1"/>
      <c r="M1180" s="1"/>
      <c r="P1180" s="3"/>
      <c r="R1180" s="1"/>
      <c r="S1180" s="1"/>
    </row>
    <row r="1181" spans="1:19" x14ac:dyDescent="0.65">
      <c r="A1181" s="34">
        <v>1180</v>
      </c>
      <c r="B1181" s="3" t="s">
        <v>3601</v>
      </c>
      <c r="C1181" s="1" t="s">
        <v>3602</v>
      </c>
      <c r="D1181" s="1">
        <v>78</v>
      </c>
      <c r="E1181" s="2" t="s">
        <v>3603</v>
      </c>
      <c r="F1181" s="3">
        <v>1</v>
      </c>
      <c r="G1181" s="33">
        <v>32874</v>
      </c>
      <c r="H1181" s="30">
        <v>41320</v>
      </c>
      <c r="I1181" s="1"/>
      <c r="J1181" s="1"/>
      <c r="K1181" s="1"/>
      <c r="L1181" s="1"/>
      <c r="M1181" s="1"/>
      <c r="P1181" s="3"/>
      <c r="R1181" s="1"/>
      <c r="S1181" s="1"/>
    </row>
    <row r="1182" spans="1:19" x14ac:dyDescent="0.65">
      <c r="A1182" s="34">
        <v>1181</v>
      </c>
      <c r="B1182" s="3" t="s">
        <v>3604</v>
      </c>
      <c r="C1182" s="1" t="s">
        <v>3605</v>
      </c>
      <c r="D1182" s="1">
        <v>79</v>
      </c>
      <c r="E1182" s="2" t="s">
        <v>3606</v>
      </c>
      <c r="F1182" s="3">
        <v>1</v>
      </c>
      <c r="G1182" s="33">
        <v>32874</v>
      </c>
      <c r="H1182" s="30">
        <v>41365</v>
      </c>
      <c r="I1182" s="1"/>
      <c r="J1182" s="1"/>
      <c r="K1182" s="1"/>
      <c r="L1182" s="1"/>
      <c r="M1182" s="1"/>
      <c r="P1182" s="3"/>
      <c r="R1182" s="1"/>
      <c r="S1182" s="1"/>
    </row>
    <row r="1183" spans="1:19" x14ac:dyDescent="0.65">
      <c r="A1183" s="34">
        <v>1182</v>
      </c>
      <c r="B1183" s="3" t="s">
        <v>3607</v>
      </c>
      <c r="C1183" s="1" t="s">
        <v>3608</v>
      </c>
      <c r="D1183" s="1">
        <v>79</v>
      </c>
      <c r="E1183" s="2" t="s">
        <v>3609</v>
      </c>
      <c r="F1183" s="3">
        <v>1</v>
      </c>
      <c r="G1183" s="33">
        <v>32874</v>
      </c>
      <c r="H1183" s="30">
        <v>41365</v>
      </c>
      <c r="I1183" s="1"/>
      <c r="J1183" s="1"/>
      <c r="K1183" s="1"/>
      <c r="L1183" s="1"/>
      <c r="M1183" s="1"/>
      <c r="P1183" s="3"/>
      <c r="R1183" s="1"/>
      <c r="S1183" s="1"/>
    </row>
    <row r="1184" spans="1:19" x14ac:dyDescent="0.65">
      <c r="A1184" s="34">
        <v>1183</v>
      </c>
      <c r="B1184" s="3" t="s">
        <v>3610</v>
      </c>
      <c r="C1184" s="1" t="s">
        <v>3611</v>
      </c>
      <c r="D1184" s="1">
        <v>79</v>
      </c>
      <c r="E1184" s="2" t="s">
        <v>3612</v>
      </c>
      <c r="F1184" s="3">
        <v>1</v>
      </c>
      <c r="G1184" s="33">
        <v>32874</v>
      </c>
      <c r="H1184" s="30">
        <v>41365</v>
      </c>
      <c r="I1184" s="1"/>
      <c r="J1184" s="1"/>
      <c r="K1184" s="1"/>
      <c r="L1184" s="1"/>
      <c r="M1184" s="1"/>
      <c r="P1184" s="3"/>
      <c r="R1184" s="1"/>
      <c r="S1184" s="1"/>
    </row>
    <row r="1185" spans="1:19" x14ac:dyDescent="0.65">
      <c r="A1185" s="34">
        <v>1184</v>
      </c>
      <c r="B1185" s="3" t="s">
        <v>3613</v>
      </c>
      <c r="C1185" s="1" t="s">
        <v>3614</v>
      </c>
      <c r="D1185" s="1">
        <v>79</v>
      </c>
      <c r="E1185" s="2" t="s">
        <v>3615</v>
      </c>
      <c r="F1185" s="3">
        <v>1</v>
      </c>
      <c r="G1185" s="33">
        <v>32874</v>
      </c>
      <c r="H1185" s="30">
        <v>41365</v>
      </c>
      <c r="I1185" s="1"/>
      <c r="J1185" s="1"/>
      <c r="K1185" s="1"/>
      <c r="L1185" s="1"/>
      <c r="M1185" s="1"/>
      <c r="P1185" s="3"/>
      <c r="R1185" s="1"/>
      <c r="S1185" s="1"/>
    </row>
    <row r="1186" spans="1:19" x14ac:dyDescent="0.65">
      <c r="A1186" s="34">
        <v>1185</v>
      </c>
      <c r="B1186" s="3" t="s">
        <v>3616</v>
      </c>
      <c r="C1186" s="1" t="s">
        <v>3614</v>
      </c>
      <c r="D1186" s="1">
        <v>79</v>
      </c>
      <c r="E1186" s="2" t="s">
        <v>3617</v>
      </c>
      <c r="F1186" s="3">
        <v>1</v>
      </c>
      <c r="G1186" s="33">
        <v>32874</v>
      </c>
      <c r="H1186" s="30">
        <v>41365</v>
      </c>
      <c r="I1186" s="1"/>
      <c r="J1186" s="1"/>
      <c r="K1186" s="1"/>
      <c r="L1186" s="1"/>
      <c r="M1186" s="1"/>
      <c r="P1186" s="3"/>
      <c r="R1186" s="1"/>
      <c r="S1186" s="1"/>
    </row>
    <row r="1187" spans="1:19" x14ac:dyDescent="0.65">
      <c r="A1187" s="34">
        <v>1186</v>
      </c>
      <c r="B1187" s="3" t="s">
        <v>3618</v>
      </c>
      <c r="C1187" s="1" t="s">
        <v>3619</v>
      </c>
      <c r="D1187" s="1">
        <v>79</v>
      </c>
      <c r="E1187" s="2" t="s">
        <v>3620</v>
      </c>
      <c r="F1187" s="3">
        <v>1</v>
      </c>
      <c r="G1187" s="33">
        <v>32874</v>
      </c>
      <c r="H1187" s="30">
        <v>41365</v>
      </c>
      <c r="I1187" s="1"/>
      <c r="J1187" s="1"/>
      <c r="K1187" s="1"/>
      <c r="L1187" s="1"/>
      <c r="M1187" s="1"/>
      <c r="P1187" s="3"/>
      <c r="R1187" s="1"/>
      <c r="S1187" s="1"/>
    </row>
    <row r="1188" spans="1:19" x14ac:dyDescent="0.65">
      <c r="A1188" s="34">
        <v>1187</v>
      </c>
      <c r="B1188" s="3" t="s">
        <v>3621</v>
      </c>
      <c r="C1188" s="1" t="s">
        <v>3622</v>
      </c>
      <c r="D1188" s="1">
        <v>79</v>
      </c>
      <c r="E1188" s="2" t="s">
        <v>3623</v>
      </c>
      <c r="F1188" s="3">
        <v>1</v>
      </c>
      <c r="G1188" s="33">
        <v>32874</v>
      </c>
      <c r="H1188" s="30">
        <v>41365</v>
      </c>
      <c r="I1188" s="1"/>
      <c r="J1188" s="1"/>
      <c r="K1188" s="1"/>
      <c r="L1188" s="1"/>
      <c r="M1188" s="1"/>
      <c r="P1188" s="3"/>
      <c r="R1188" s="1"/>
      <c r="S1188" s="1"/>
    </row>
    <row r="1189" spans="1:19" x14ac:dyDescent="0.65">
      <c r="A1189" s="34">
        <v>1188</v>
      </c>
      <c r="B1189" s="3" t="s">
        <v>3624</v>
      </c>
      <c r="C1189" s="1" t="s">
        <v>3625</v>
      </c>
      <c r="D1189" s="1">
        <v>79</v>
      </c>
      <c r="E1189" s="2" t="s">
        <v>3626</v>
      </c>
      <c r="F1189" s="3">
        <v>1</v>
      </c>
      <c r="G1189" s="33">
        <v>32874</v>
      </c>
      <c r="H1189" s="30">
        <v>41365</v>
      </c>
      <c r="I1189" s="1"/>
      <c r="J1189" s="1"/>
      <c r="K1189" s="1"/>
      <c r="L1189" s="1"/>
      <c r="M1189" s="1"/>
      <c r="P1189" s="3"/>
      <c r="R1189" s="1"/>
      <c r="S1189" s="1"/>
    </row>
    <row r="1190" spans="1:19" x14ac:dyDescent="0.65">
      <c r="A1190" s="34">
        <v>1189</v>
      </c>
      <c r="B1190" s="3" t="s">
        <v>3627</v>
      </c>
      <c r="C1190" s="1" t="s">
        <v>3628</v>
      </c>
      <c r="D1190" s="1">
        <v>80</v>
      </c>
      <c r="E1190" s="2" t="s">
        <v>3629</v>
      </c>
      <c r="F1190" s="3">
        <v>1</v>
      </c>
      <c r="G1190" s="33">
        <v>32874</v>
      </c>
      <c r="H1190" s="30">
        <v>41365</v>
      </c>
      <c r="I1190" s="1"/>
      <c r="J1190" s="1"/>
      <c r="K1190" s="1"/>
      <c r="L1190" s="1"/>
      <c r="M1190" s="1"/>
      <c r="P1190" s="3"/>
      <c r="R1190" s="1"/>
      <c r="S1190" s="1"/>
    </row>
    <row r="1191" spans="1:19" x14ac:dyDescent="0.65">
      <c r="A1191" s="34">
        <v>1190</v>
      </c>
      <c r="B1191" s="3" t="s">
        <v>3630</v>
      </c>
      <c r="C1191" s="1" t="s">
        <v>3631</v>
      </c>
      <c r="D1191" s="1">
        <v>79</v>
      </c>
      <c r="E1191" s="2" t="s">
        <v>3632</v>
      </c>
      <c r="F1191" s="3">
        <v>1</v>
      </c>
      <c r="G1191" s="33">
        <v>32874</v>
      </c>
      <c r="H1191" s="30">
        <v>43306</v>
      </c>
      <c r="I1191" s="1"/>
      <c r="J1191" s="1"/>
      <c r="K1191" s="1"/>
      <c r="L1191" s="1"/>
      <c r="M1191" s="1"/>
      <c r="P1191" s="3"/>
      <c r="R1191" s="1"/>
      <c r="S1191" s="1"/>
    </row>
    <row r="1192" spans="1:19" x14ac:dyDescent="0.65">
      <c r="A1192" s="34">
        <v>1191</v>
      </c>
      <c r="B1192" s="3" t="s">
        <v>3633</v>
      </c>
      <c r="C1192" s="1" t="s">
        <v>3634</v>
      </c>
      <c r="D1192" s="1">
        <v>79</v>
      </c>
      <c r="E1192" s="2" t="s">
        <v>3635</v>
      </c>
      <c r="F1192" s="3">
        <v>1</v>
      </c>
      <c r="G1192" s="33">
        <v>32874</v>
      </c>
      <c r="H1192" s="30">
        <v>45224</v>
      </c>
      <c r="I1192" s="1"/>
      <c r="J1192" s="1"/>
      <c r="K1192" s="1"/>
      <c r="L1192" s="1"/>
      <c r="M1192" s="1"/>
      <c r="P1192" s="3"/>
      <c r="R1192" s="1"/>
      <c r="S1192" s="1"/>
    </row>
    <row r="1193" spans="1:19" x14ac:dyDescent="0.65">
      <c r="A1193" s="34">
        <v>1192</v>
      </c>
      <c r="B1193" s="3" t="s">
        <v>3636</v>
      </c>
      <c r="C1193" s="1" t="s">
        <v>3637</v>
      </c>
      <c r="D1193" s="1">
        <v>79</v>
      </c>
      <c r="E1193" s="2" t="s">
        <v>3638</v>
      </c>
      <c r="F1193" s="3">
        <v>1</v>
      </c>
      <c r="G1193" s="33">
        <v>32874</v>
      </c>
      <c r="H1193" s="30">
        <v>43404</v>
      </c>
      <c r="I1193" s="1"/>
      <c r="J1193" s="1"/>
      <c r="K1193" s="1"/>
      <c r="L1193" s="1"/>
      <c r="M1193" s="1"/>
      <c r="P1193" s="3"/>
      <c r="R1193" s="1"/>
      <c r="S1193" s="1"/>
    </row>
    <row r="1194" spans="1:19" x14ac:dyDescent="0.65">
      <c r="A1194" s="34">
        <v>1193</v>
      </c>
      <c r="B1194" s="3" t="s">
        <v>3639</v>
      </c>
      <c r="C1194" s="1" t="s">
        <v>3640</v>
      </c>
      <c r="D1194" s="1">
        <v>78</v>
      </c>
      <c r="E1194" s="2" t="s">
        <v>3641</v>
      </c>
      <c r="F1194" s="3">
        <v>1</v>
      </c>
      <c r="G1194" s="33">
        <v>32874</v>
      </c>
      <c r="H1194" s="30">
        <v>41365</v>
      </c>
      <c r="I1194" s="1"/>
      <c r="J1194" s="1"/>
      <c r="K1194" s="1"/>
      <c r="L1194" s="1"/>
      <c r="M1194" s="1"/>
      <c r="P1194" s="3"/>
      <c r="R1194" s="1"/>
      <c r="S1194" s="1"/>
    </row>
    <row r="1195" spans="1:19" x14ac:dyDescent="0.65">
      <c r="A1195" s="34">
        <v>1194</v>
      </c>
      <c r="B1195" s="3" t="s">
        <v>3642</v>
      </c>
      <c r="C1195" s="1" t="s">
        <v>3643</v>
      </c>
      <c r="D1195" s="1">
        <v>78</v>
      </c>
      <c r="E1195" s="2" t="s">
        <v>3644</v>
      </c>
      <c r="F1195" s="3">
        <v>1</v>
      </c>
      <c r="G1195" s="33">
        <v>32874</v>
      </c>
      <c r="H1195" s="30">
        <v>41365</v>
      </c>
      <c r="I1195" s="1"/>
      <c r="J1195" s="1"/>
      <c r="K1195" s="1"/>
      <c r="L1195" s="1"/>
      <c r="M1195" s="1"/>
      <c r="P1195" s="3"/>
      <c r="R1195" s="1"/>
      <c r="S1195" s="1"/>
    </row>
    <row r="1196" spans="1:19" x14ac:dyDescent="0.65">
      <c r="A1196" s="34">
        <v>1195</v>
      </c>
      <c r="B1196" s="3" t="s">
        <v>3645</v>
      </c>
      <c r="C1196" s="1" t="s">
        <v>3646</v>
      </c>
      <c r="D1196" s="1">
        <v>78</v>
      </c>
      <c r="E1196" s="2" t="s">
        <v>3647</v>
      </c>
      <c r="F1196" s="3">
        <v>1</v>
      </c>
      <c r="G1196" s="33">
        <v>32874</v>
      </c>
      <c r="H1196" s="30">
        <v>41365</v>
      </c>
      <c r="I1196" s="1"/>
      <c r="J1196" s="1"/>
      <c r="K1196" s="1"/>
      <c r="L1196" s="1"/>
      <c r="M1196" s="1"/>
      <c r="P1196" s="3"/>
      <c r="R1196" s="1"/>
      <c r="S1196" s="1"/>
    </row>
    <row r="1197" spans="1:19" x14ac:dyDescent="0.65">
      <c r="A1197" s="34">
        <v>1196</v>
      </c>
      <c r="B1197" s="3" t="s">
        <v>3648</v>
      </c>
      <c r="C1197" s="1" t="s">
        <v>3649</v>
      </c>
      <c r="D1197" s="1">
        <v>78</v>
      </c>
      <c r="E1197" s="2" t="s">
        <v>3650</v>
      </c>
      <c r="F1197" s="3">
        <v>1</v>
      </c>
      <c r="G1197" s="33">
        <v>32874</v>
      </c>
      <c r="H1197" s="30">
        <v>41365</v>
      </c>
      <c r="I1197" s="1"/>
      <c r="J1197" s="1"/>
      <c r="K1197" s="1"/>
      <c r="L1197" s="1"/>
      <c r="M1197" s="1"/>
      <c r="P1197" s="3"/>
      <c r="R1197" s="1"/>
      <c r="S1197" s="1"/>
    </row>
    <row r="1198" spans="1:19" x14ac:dyDescent="0.65">
      <c r="A1198" s="34">
        <v>1197</v>
      </c>
      <c r="B1198" s="3" t="s">
        <v>3651</v>
      </c>
      <c r="C1198" s="1" t="s">
        <v>3652</v>
      </c>
      <c r="D1198" s="1">
        <v>78</v>
      </c>
      <c r="E1198" s="2" t="s">
        <v>3653</v>
      </c>
      <c r="F1198" s="3">
        <v>1</v>
      </c>
      <c r="G1198" s="33">
        <v>32874</v>
      </c>
      <c r="H1198" s="30">
        <v>41365</v>
      </c>
      <c r="I1198" s="1"/>
      <c r="J1198" s="1"/>
      <c r="K1198" s="1"/>
      <c r="L1198" s="1"/>
      <c r="M1198" s="1"/>
      <c r="P1198" s="3"/>
      <c r="R1198" s="1"/>
      <c r="S1198" s="1"/>
    </row>
    <row r="1199" spans="1:19" x14ac:dyDescent="0.65">
      <c r="A1199" s="34">
        <v>1198</v>
      </c>
      <c r="B1199" s="3" t="s">
        <v>3654</v>
      </c>
      <c r="C1199" s="1" t="s">
        <v>3655</v>
      </c>
      <c r="D1199" s="1">
        <v>79</v>
      </c>
      <c r="E1199" s="2" t="s">
        <v>3656</v>
      </c>
      <c r="F1199" s="3">
        <v>1</v>
      </c>
      <c r="G1199" s="33">
        <v>32874</v>
      </c>
      <c r="H1199" s="30">
        <v>43571</v>
      </c>
      <c r="I1199" s="1"/>
      <c r="J1199" s="1"/>
      <c r="K1199" s="1"/>
      <c r="L1199" s="1"/>
      <c r="M1199" s="1"/>
      <c r="P1199" s="3"/>
      <c r="R1199" s="1"/>
      <c r="S1199" s="1"/>
    </row>
    <row r="1200" spans="1:19" x14ac:dyDescent="0.65">
      <c r="A1200" s="34">
        <v>1199</v>
      </c>
      <c r="B1200" s="3" t="s">
        <v>3657</v>
      </c>
      <c r="C1200" s="1" t="s">
        <v>3658</v>
      </c>
      <c r="D1200" s="1">
        <v>79</v>
      </c>
      <c r="E1200" s="2" t="s">
        <v>3659</v>
      </c>
      <c r="F1200" s="3">
        <v>1</v>
      </c>
      <c r="G1200" s="33">
        <v>32874</v>
      </c>
      <c r="H1200" s="30">
        <v>41365</v>
      </c>
      <c r="I1200" s="1"/>
      <c r="J1200" s="1"/>
      <c r="K1200" s="1"/>
      <c r="L1200" s="1"/>
      <c r="M1200" s="1"/>
      <c r="P1200" s="3"/>
      <c r="R1200" s="1"/>
      <c r="S1200" s="1"/>
    </row>
    <row r="1201" spans="1:19" x14ac:dyDescent="0.65">
      <c r="A1201" s="34">
        <v>1200</v>
      </c>
      <c r="B1201" s="3" t="s">
        <v>3660</v>
      </c>
      <c r="C1201" s="1" t="s">
        <v>3661</v>
      </c>
      <c r="D1201" s="1">
        <v>79</v>
      </c>
      <c r="E1201" s="2" t="s">
        <v>3662</v>
      </c>
      <c r="F1201" s="3">
        <v>1</v>
      </c>
      <c r="G1201" s="33">
        <v>32874</v>
      </c>
      <c r="H1201" s="30">
        <v>45393</v>
      </c>
      <c r="I1201" s="1"/>
      <c r="J1201" s="1"/>
      <c r="K1201" s="1"/>
      <c r="L1201" s="1"/>
      <c r="M1201" s="1"/>
      <c r="P1201" s="3"/>
      <c r="R1201" s="1"/>
      <c r="S1201" s="1"/>
    </row>
    <row r="1202" spans="1:19" x14ac:dyDescent="0.65">
      <c r="A1202" s="34">
        <v>1201</v>
      </c>
      <c r="B1202" s="3" t="s">
        <v>3663</v>
      </c>
      <c r="C1202" s="1" t="s">
        <v>3664</v>
      </c>
      <c r="D1202" s="1">
        <v>79</v>
      </c>
      <c r="E1202" s="2" t="s">
        <v>3665</v>
      </c>
      <c r="F1202" s="3">
        <v>1</v>
      </c>
      <c r="G1202" s="33">
        <v>32874</v>
      </c>
      <c r="H1202" s="30">
        <v>43717</v>
      </c>
      <c r="I1202" s="1"/>
      <c r="J1202" s="1"/>
      <c r="K1202" s="1"/>
      <c r="L1202" s="1"/>
      <c r="M1202" s="1"/>
      <c r="P1202" s="3"/>
      <c r="R1202" s="1"/>
      <c r="S1202" s="1"/>
    </row>
    <row r="1203" spans="1:19" x14ac:dyDescent="0.65">
      <c r="A1203" s="34">
        <v>1202</v>
      </c>
      <c r="B1203" s="3" t="s">
        <v>3666</v>
      </c>
      <c r="C1203" s="1" t="s">
        <v>3667</v>
      </c>
      <c r="D1203" s="1">
        <v>79</v>
      </c>
      <c r="E1203" s="2" t="s">
        <v>3668</v>
      </c>
      <c r="F1203" s="3">
        <v>1</v>
      </c>
      <c r="G1203" s="33">
        <v>32874</v>
      </c>
      <c r="H1203" s="30">
        <v>45505</v>
      </c>
      <c r="I1203" s="1"/>
      <c r="J1203" s="1"/>
      <c r="K1203" s="1"/>
      <c r="L1203" s="1"/>
      <c r="M1203" s="1"/>
      <c r="P1203" s="3"/>
      <c r="R1203" s="1"/>
      <c r="S1203" s="1"/>
    </row>
    <row r="1204" spans="1:19" x14ac:dyDescent="0.65">
      <c r="A1204" s="34">
        <v>1203</v>
      </c>
      <c r="B1204" s="3" t="s">
        <v>3669</v>
      </c>
      <c r="C1204" s="1" t="s">
        <v>3670</v>
      </c>
      <c r="D1204" s="1">
        <v>79</v>
      </c>
      <c r="E1204" s="2" t="s">
        <v>3671</v>
      </c>
      <c r="F1204" s="3">
        <v>1</v>
      </c>
      <c r="G1204" s="33">
        <v>32874</v>
      </c>
      <c r="H1204" s="30">
        <v>45505</v>
      </c>
      <c r="I1204" s="1"/>
      <c r="J1204" s="1"/>
      <c r="K1204" s="1"/>
      <c r="L1204" s="1"/>
      <c r="M1204" s="1"/>
      <c r="P1204" s="3"/>
      <c r="R1204" s="1"/>
      <c r="S1204" s="1"/>
    </row>
    <row r="1205" spans="1:19" x14ac:dyDescent="0.65">
      <c r="A1205" s="34">
        <v>1204</v>
      </c>
      <c r="B1205" s="3" t="s">
        <v>3672</v>
      </c>
      <c r="C1205" s="1" t="s">
        <v>3673</v>
      </c>
      <c r="D1205" s="1">
        <v>79</v>
      </c>
      <c r="E1205" s="2" t="s">
        <v>3674</v>
      </c>
      <c r="F1205" s="3">
        <v>1</v>
      </c>
      <c r="G1205" s="33">
        <v>32874</v>
      </c>
      <c r="H1205" s="30">
        <v>45505</v>
      </c>
      <c r="I1205" s="1"/>
      <c r="J1205" s="1"/>
      <c r="K1205" s="1"/>
      <c r="L1205" s="1"/>
      <c r="M1205" s="1"/>
      <c r="P1205" s="3"/>
      <c r="R1205" s="1"/>
      <c r="S1205" s="1"/>
    </row>
    <row r="1206" spans="1:19" x14ac:dyDescent="0.65">
      <c r="A1206" s="34">
        <v>1205</v>
      </c>
      <c r="B1206" s="3" t="s">
        <v>3675</v>
      </c>
      <c r="C1206" s="1" t="s">
        <v>3676</v>
      </c>
      <c r="D1206" s="1">
        <v>79</v>
      </c>
      <c r="E1206" s="2" t="s">
        <v>3677</v>
      </c>
      <c r="F1206" s="3">
        <v>1</v>
      </c>
      <c r="G1206" s="33">
        <v>32874</v>
      </c>
      <c r="H1206" s="30">
        <v>43871</v>
      </c>
      <c r="I1206" s="1"/>
      <c r="J1206" s="1"/>
      <c r="K1206" s="1"/>
      <c r="L1206" s="1"/>
      <c r="M1206" s="1"/>
      <c r="P1206" s="3"/>
      <c r="R1206" s="1"/>
      <c r="S1206" s="1"/>
    </row>
    <row r="1207" spans="1:19" x14ac:dyDescent="0.65">
      <c r="A1207" s="34">
        <v>1206</v>
      </c>
      <c r="B1207" s="3" t="s">
        <v>3678</v>
      </c>
      <c r="C1207" s="1" t="s">
        <v>3679</v>
      </c>
      <c r="D1207" s="1">
        <v>78</v>
      </c>
      <c r="E1207" s="2" t="s">
        <v>3680</v>
      </c>
      <c r="F1207" s="3">
        <v>1</v>
      </c>
      <c r="G1207" s="33">
        <v>32874</v>
      </c>
      <c r="H1207" s="30">
        <v>41337</v>
      </c>
      <c r="I1207" s="1"/>
      <c r="J1207" s="1"/>
      <c r="K1207" s="1"/>
      <c r="L1207" s="1"/>
      <c r="M1207" s="1"/>
      <c r="P1207" s="3"/>
      <c r="R1207" s="1"/>
      <c r="S1207" s="1"/>
    </row>
    <row r="1208" spans="1:19" x14ac:dyDescent="0.65">
      <c r="A1208" s="34">
        <v>1207</v>
      </c>
      <c r="B1208" s="3" t="s">
        <v>3681</v>
      </c>
      <c r="C1208" s="1" t="s">
        <v>3682</v>
      </c>
      <c r="D1208" s="1">
        <v>81</v>
      </c>
      <c r="E1208" s="2" t="s">
        <v>3683</v>
      </c>
      <c r="F1208" s="3">
        <v>1</v>
      </c>
      <c r="G1208" s="33">
        <v>32874</v>
      </c>
      <c r="H1208" s="30">
        <v>43808</v>
      </c>
      <c r="I1208" s="1"/>
      <c r="J1208" s="1"/>
      <c r="K1208" s="1"/>
      <c r="L1208" s="1"/>
      <c r="M1208" s="1"/>
      <c r="P1208" s="3"/>
      <c r="R1208" s="1"/>
      <c r="S1208" s="1"/>
    </row>
    <row r="1209" spans="1:19" x14ac:dyDescent="0.65">
      <c r="A1209" s="34">
        <v>1208</v>
      </c>
      <c r="B1209" s="3" t="s">
        <v>3684</v>
      </c>
      <c r="C1209" s="1" t="s">
        <v>3685</v>
      </c>
      <c r="D1209" s="1">
        <v>81</v>
      </c>
      <c r="E1209" s="2" t="s">
        <v>3686</v>
      </c>
      <c r="F1209" s="3">
        <v>1</v>
      </c>
      <c r="G1209" s="33">
        <v>32874</v>
      </c>
      <c r="H1209" s="30">
        <v>41341</v>
      </c>
      <c r="I1209" s="1"/>
      <c r="J1209" s="1"/>
      <c r="K1209" s="1"/>
      <c r="L1209" s="1"/>
      <c r="M1209" s="1"/>
      <c r="P1209" s="3"/>
      <c r="R1209" s="1"/>
      <c r="S1209" s="1"/>
    </row>
    <row r="1210" spans="1:19" x14ac:dyDescent="0.65">
      <c r="A1210" s="34">
        <v>1209</v>
      </c>
      <c r="B1210" s="3" t="s">
        <v>3687</v>
      </c>
      <c r="C1210" s="1" t="s">
        <v>3688</v>
      </c>
      <c r="D1210" s="1">
        <v>81</v>
      </c>
      <c r="E1210" s="2" t="s">
        <v>3689</v>
      </c>
      <c r="F1210" s="3">
        <v>1</v>
      </c>
      <c r="G1210" s="33">
        <v>32874</v>
      </c>
      <c r="H1210" s="30">
        <v>45377</v>
      </c>
      <c r="I1210" s="1"/>
      <c r="J1210" s="1"/>
      <c r="K1210" s="1"/>
      <c r="L1210" s="1"/>
      <c r="M1210" s="1"/>
      <c r="P1210" s="3"/>
      <c r="R1210" s="1"/>
      <c r="S1210" s="1"/>
    </row>
    <row r="1211" spans="1:19" x14ac:dyDescent="0.65">
      <c r="A1211" s="34">
        <v>1210</v>
      </c>
      <c r="B1211" s="3" t="s">
        <v>3690</v>
      </c>
      <c r="C1211" s="1" t="s">
        <v>3691</v>
      </c>
      <c r="D1211" s="1">
        <v>81</v>
      </c>
      <c r="E1211" s="2" t="s">
        <v>3692</v>
      </c>
      <c r="F1211" s="3">
        <v>1</v>
      </c>
      <c r="G1211" s="33">
        <v>32874</v>
      </c>
      <c r="H1211" s="30">
        <v>45495</v>
      </c>
      <c r="I1211" s="1"/>
      <c r="J1211" s="1"/>
      <c r="K1211" s="1"/>
      <c r="L1211" s="1"/>
      <c r="M1211" s="1"/>
      <c r="P1211" s="3"/>
      <c r="R1211" s="1"/>
      <c r="S1211" s="1"/>
    </row>
    <row r="1212" spans="1:19" x14ac:dyDescent="0.65">
      <c r="A1212" s="34">
        <v>1211</v>
      </c>
      <c r="B1212" s="3" t="s">
        <v>3693</v>
      </c>
      <c r="C1212" s="1" t="s">
        <v>3694</v>
      </c>
      <c r="D1212" s="1">
        <v>81</v>
      </c>
      <c r="E1212" s="2" t="s">
        <v>3695</v>
      </c>
      <c r="F1212" s="3">
        <v>1</v>
      </c>
      <c r="G1212" s="33">
        <v>32874</v>
      </c>
      <c r="H1212" s="30">
        <v>45379</v>
      </c>
      <c r="I1212" s="1"/>
      <c r="J1212" s="1"/>
      <c r="K1212" s="1"/>
      <c r="L1212" s="1"/>
      <c r="M1212" s="1"/>
      <c r="P1212" s="3"/>
      <c r="R1212" s="1"/>
      <c r="S1212" s="1"/>
    </row>
    <row r="1213" spans="1:19" x14ac:dyDescent="0.65">
      <c r="A1213" s="34">
        <v>1212</v>
      </c>
      <c r="B1213" s="3" t="s">
        <v>3696</v>
      </c>
      <c r="C1213" s="1" t="s">
        <v>3697</v>
      </c>
      <c r="D1213" s="1">
        <v>78</v>
      </c>
      <c r="E1213" s="2" t="s">
        <v>3698</v>
      </c>
      <c r="F1213" s="3">
        <v>1</v>
      </c>
      <c r="G1213" s="33">
        <v>32874</v>
      </c>
      <c r="H1213" s="30">
        <v>41365</v>
      </c>
      <c r="I1213" s="1"/>
      <c r="J1213" s="1"/>
      <c r="K1213" s="1"/>
      <c r="L1213" s="1"/>
      <c r="M1213" s="1"/>
      <c r="P1213" s="3"/>
      <c r="R1213" s="1"/>
      <c r="S1213" s="1"/>
    </row>
    <row r="1214" spans="1:19" x14ac:dyDescent="0.65">
      <c r="A1214" s="34">
        <v>1213</v>
      </c>
      <c r="B1214" s="3" t="s">
        <v>3699</v>
      </c>
      <c r="C1214" s="1" t="s">
        <v>3700</v>
      </c>
      <c r="D1214" s="1">
        <v>81</v>
      </c>
      <c r="E1214" s="2" t="s">
        <v>3701</v>
      </c>
      <c r="F1214" s="3">
        <v>1</v>
      </c>
      <c r="G1214" s="33">
        <v>32874</v>
      </c>
      <c r="H1214" s="30">
        <v>41365</v>
      </c>
      <c r="I1214" s="1"/>
      <c r="J1214" s="1"/>
      <c r="K1214" s="1"/>
      <c r="L1214" s="1"/>
      <c r="M1214" s="1"/>
      <c r="P1214" s="3"/>
      <c r="R1214" s="1"/>
      <c r="S1214" s="1"/>
    </row>
    <row r="1215" spans="1:19" x14ac:dyDescent="0.65">
      <c r="A1215" s="34">
        <v>1214</v>
      </c>
      <c r="B1215" s="3" t="s">
        <v>3702</v>
      </c>
      <c r="C1215" s="1" t="s">
        <v>3703</v>
      </c>
      <c r="D1215" s="1">
        <v>79</v>
      </c>
      <c r="E1215" s="2" t="s">
        <v>3704</v>
      </c>
      <c r="F1215" s="3">
        <v>1</v>
      </c>
      <c r="G1215" s="33">
        <v>32874</v>
      </c>
      <c r="H1215" s="30">
        <v>41365</v>
      </c>
      <c r="I1215" s="1"/>
      <c r="J1215" s="1"/>
      <c r="K1215" s="1"/>
      <c r="L1215" s="1"/>
      <c r="M1215" s="1"/>
      <c r="P1215" s="3"/>
      <c r="R1215" s="1"/>
      <c r="S1215" s="1"/>
    </row>
    <row r="1216" spans="1:19" x14ac:dyDescent="0.65">
      <c r="A1216" s="34">
        <v>1215</v>
      </c>
      <c r="B1216" s="3" t="s">
        <v>3705</v>
      </c>
      <c r="C1216" s="1" t="s">
        <v>3706</v>
      </c>
      <c r="D1216" s="1">
        <v>81</v>
      </c>
      <c r="E1216" s="2" t="s">
        <v>3707</v>
      </c>
      <c r="F1216" s="3">
        <v>1</v>
      </c>
      <c r="G1216" s="33">
        <v>32874</v>
      </c>
      <c r="H1216" s="30">
        <v>41365</v>
      </c>
      <c r="I1216" s="1"/>
      <c r="J1216" s="1"/>
      <c r="K1216" s="1"/>
      <c r="L1216" s="1"/>
      <c r="M1216" s="1"/>
      <c r="P1216" s="3"/>
      <c r="R1216" s="1"/>
      <c r="S1216" s="1"/>
    </row>
    <row r="1217" spans="1:19" x14ac:dyDescent="0.65">
      <c r="A1217" s="34">
        <v>1216</v>
      </c>
      <c r="B1217" s="3" t="s">
        <v>3708</v>
      </c>
      <c r="C1217" s="1" t="s">
        <v>3709</v>
      </c>
      <c r="D1217" s="1">
        <v>81</v>
      </c>
      <c r="E1217" s="2" t="s">
        <v>3710</v>
      </c>
      <c r="F1217" s="3">
        <v>1</v>
      </c>
      <c r="G1217" s="33">
        <v>32874</v>
      </c>
      <c r="H1217" s="30">
        <v>41365</v>
      </c>
      <c r="I1217" s="1"/>
      <c r="J1217" s="1"/>
      <c r="K1217" s="1"/>
      <c r="L1217" s="1"/>
      <c r="M1217" s="1"/>
      <c r="P1217" s="3"/>
      <c r="R1217" s="1"/>
      <c r="S1217" s="1"/>
    </row>
    <row r="1218" spans="1:19" x14ac:dyDescent="0.65">
      <c r="A1218" s="34">
        <v>1217</v>
      </c>
      <c r="B1218" s="3" t="s">
        <v>3711</v>
      </c>
      <c r="C1218" s="1" t="s">
        <v>3712</v>
      </c>
      <c r="D1218" s="1">
        <v>78</v>
      </c>
      <c r="E1218" s="2" t="s">
        <v>3713</v>
      </c>
      <c r="F1218" s="3">
        <v>1</v>
      </c>
      <c r="G1218" s="33">
        <v>32874</v>
      </c>
      <c r="H1218" s="30">
        <v>43851</v>
      </c>
      <c r="I1218" s="1"/>
      <c r="J1218" s="1"/>
      <c r="K1218" s="1"/>
      <c r="L1218" s="1"/>
      <c r="M1218" s="1"/>
      <c r="P1218" s="3"/>
      <c r="R1218" s="1"/>
      <c r="S1218" s="1"/>
    </row>
    <row r="1219" spans="1:19" x14ac:dyDescent="0.65">
      <c r="A1219" s="34">
        <v>1218</v>
      </c>
      <c r="B1219" s="3" t="s">
        <v>3714</v>
      </c>
      <c r="C1219" s="1" t="s">
        <v>3715</v>
      </c>
      <c r="D1219" s="1">
        <v>79</v>
      </c>
      <c r="E1219" s="2" t="s">
        <v>3716</v>
      </c>
      <c r="F1219" s="3">
        <v>1</v>
      </c>
      <c r="G1219" s="33">
        <v>32874</v>
      </c>
      <c r="H1219" s="30">
        <v>41362</v>
      </c>
      <c r="I1219" s="1"/>
      <c r="J1219" s="1"/>
      <c r="K1219" s="1"/>
      <c r="L1219" s="1"/>
      <c r="M1219" s="1"/>
      <c r="P1219" s="3"/>
      <c r="R1219" s="1"/>
      <c r="S1219" s="1"/>
    </row>
    <row r="1220" spans="1:19" x14ac:dyDescent="0.65">
      <c r="A1220" s="34">
        <v>1219</v>
      </c>
      <c r="B1220" s="3" t="s">
        <v>3717</v>
      </c>
      <c r="C1220" s="1" t="s">
        <v>3718</v>
      </c>
      <c r="D1220" s="1">
        <v>80</v>
      </c>
      <c r="E1220" s="2" t="s">
        <v>3719</v>
      </c>
      <c r="F1220" s="3">
        <v>1</v>
      </c>
      <c r="G1220" s="33">
        <v>32874</v>
      </c>
      <c r="H1220" s="30">
        <v>41362</v>
      </c>
      <c r="I1220" s="1"/>
      <c r="J1220" s="1"/>
      <c r="K1220" s="1"/>
      <c r="L1220" s="1"/>
      <c r="M1220" s="1"/>
      <c r="P1220" s="3"/>
      <c r="R1220" s="1"/>
      <c r="S1220" s="1"/>
    </row>
    <row r="1221" spans="1:19" x14ac:dyDescent="0.65">
      <c r="A1221" s="34">
        <v>1220</v>
      </c>
      <c r="B1221" s="3" t="s">
        <v>3720</v>
      </c>
      <c r="C1221" s="1" t="s">
        <v>3721</v>
      </c>
      <c r="D1221" s="1">
        <v>80</v>
      </c>
      <c r="E1221" s="2" t="s">
        <v>3722</v>
      </c>
      <c r="F1221" s="3">
        <v>1</v>
      </c>
      <c r="G1221" s="33">
        <v>32874</v>
      </c>
      <c r="H1221" s="30">
        <v>41362</v>
      </c>
      <c r="I1221" s="1"/>
      <c r="J1221" s="1"/>
      <c r="K1221" s="1"/>
      <c r="L1221" s="1"/>
      <c r="M1221" s="1"/>
      <c r="P1221" s="3"/>
      <c r="R1221" s="1"/>
      <c r="S1221" s="1"/>
    </row>
    <row r="1222" spans="1:19" x14ac:dyDescent="0.65">
      <c r="A1222" s="34">
        <v>1221</v>
      </c>
      <c r="B1222" s="3" t="s">
        <v>3723</v>
      </c>
      <c r="C1222" s="1" t="s">
        <v>3724</v>
      </c>
      <c r="D1222" s="1">
        <v>80</v>
      </c>
      <c r="E1222" s="2" t="s">
        <v>3725</v>
      </c>
      <c r="F1222" s="3">
        <v>1</v>
      </c>
      <c r="G1222" s="33">
        <v>32874</v>
      </c>
      <c r="H1222" s="30">
        <v>41362</v>
      </c>
      <c r="I1222" s="1"/>
      <c r="J1222" s="1"/>
      <c r="K1222" s="1"/>
      <c r="L1222" s="1"/>
      <c r="M1222" s="1"/>
      <c r="P1222" s="3"/>
      <c r="R1222" s="1"/>
      <c r="S1222" s="1"/>
    </row>
    <row r="1223" spans="1:19" x14ac:dyDescent="0.65">
      <c r="A1223" s="34">
        <v>1222</v>
      </c>
      <c r="B1223" s="3" t="s">
        <v>3726</v>
      </c>
      <c r="C1223" s="1" t="s">
        <v>3727</v>
      </c>
      <c r="D1223" s="1">
        <v>81</v>
      </c>
      <c r="E1223" s="2" t="s">
        <v>3728</v>
      </c>
      <c r="F1223" s="3">
        <v>1</v>
      </c>
      <c r="G1223" s="33">
        <v>32874</v>
      </c>
      <c r="H1223" s="30">
        <v>44949</v>
      </c>
      <c r="I1223" s="1"/>
      <c r="J1223" s="1"/>
      <c r="K1223" s="1"/>
      <c r="L1223" s="1"/>
      <c r="M1223" s="1"/>
      <c r="P1223" s="3"/>
      <c r="R1223" s="1"/>
      <c r="S1223" s="1"/>
    </row>
    <row r="1224" spans="1:19" x14ac:dyDescent="0.65">
      <c r="A1224" s="34">
        <v>1223</v>
      </c>
      <c r="B1224" s="3" t="s">
        <v>3729</v>
      </c>
      <c r="C1224" s="1" t="s">
        <v>3730</v>
      </c>
      <c r="D1224" s="1">
        <v>78</v>
      </c>
      <c r="E1224" s="2" t="s">
        <v>3731</v>
      </c>
      <c r="F1224" s="3">
        <v>1</v>
      </c>
      <c r="G1224" s="33">
        <v>32874</v>
      </c>
      <c r="H1224" s="30">
        <v>41365</v>
      </c>
      <c r="I1224" s="1"/>
      <c r="J1224" s="1"/>
      <c r="K1224" s="1"/>
      <c r="L1224" s="1"/>
      <c r="M1224" s="1"/>
      <c r="P1224" s="3"/>
      <c r="R1224" s="1"/>
      <c r="S1224" s="1"/>
    </row>
    <row r="1225" spans="1:19" x14ac:dyDescent="0.65">
      <c r="A1225" s="34">
        <v>1224</v>
      </c>
      <c r="B1225" s="3" t="s">
        <v>3732</v>
      </c>
      <c r="C1225" s="1" t="s">
        <v>3733</v>
      </c>
      <c r="D1225" s="1">
        <v>78</v>
      </c>
      <c r="E1225" s="2" t="s">
        <v>3734</v>
      </c>
      <c r="F1225" s="3">
        <v>1</v>
      </c>
      <c r="G1225" s="33">
        <v>32874</v>
      </c>
      <c r="H1225" s="30">
        <v>41365</v>
      </c>
      <c r="I1225" s="1"/>
      <c r="J1225" s="1"/>
      <c r="K1225" s="1"/>
      <c r="L1225" s="1"/>
      <c r="M1225" s="1"/>
      <c r="P1225" s="3"/>
      <c r="R1225" s="1"/>
      <c r="S1225" s="1"/>
    </row>
    <row r="1226" spans="1:19" x14ac:dyDescent="0.65">
      <c r="A1226" s="34">
        <v>1225</v>
      </c>
      <c r="B1226" s="3" t="s">
        <v>3735</v>
      </c>
      <c r="C1226" s="1" t="s">
        <v>3736</v>
      </c>
      <c r="D1226" s="1">
        <v>79</v>
      </c>
      <c r="E1226" s="2" t="s">
        <v>3737</v>
      </c>
      <c r="F1226" s="3">
        <v>1</v>
      </c>
      <c r="G1226" s="33">
        <v>32874</v>
      </c>
      <c r="H1226" s="30">
        <v>41527</v>
      </c>
      <c r="I1226" s="1"/>
      <c r="J1226" s="1"/>
      <c r="K1226" s="1"/>
      <c r="L1226" s="1"/>
      <c r="M1226" s="1"/>
      <c r="P1226" s="3"/>
      <c r="R1226" s="1"/>
      <c r="S1226" s="1"/>
    </row>
    <row r="1227" spans="1:19" x14ac:dyDescent="0.65">
      <c r="A1227" s="34">
        <v>1226</v>
      </c>
      <c r="B1227" s="3" t="s">
        <v>3738</v>
      </c>
      <c r="C1227" s="1" t="s">
        <v>3739</v>
      </c>
      <c r="D1227" s="1">
        <v>79</v>
      </c>
      <c r="E1227" s="2" t="s">
        <v>3740</v>
      </c>
      <c r="F1227" s="3">
        <v>1</v>
      </c>
      <c r="G1227" s="33">
        <v>32874</v>
      </c>
      <c r="H1227" s="30">
        <v>41527</v>
      </c>
      <c r="I1227" s="1"/>
      <c r="J1227" s="1"/>
      <c r="K1227" s="1"/>
      <c r="L1227" s="1"/>
      <c r="M1227" s="1"/>
      <c r="P1227" s="3"/>
      <c r="R1227" s="1"/>
      <c r="S1227" s="1"/>
    </row>
    <row r="1228" spans="1:19" x14ac:dyDescent="0.65">
      <c r="A1228" s="34">
        <v>1227</v>
      </c>
      <c r="B1228" s="3" t="s">
        <v>3741</v>
      </c>
      <c r="C1228" s="1" t="s">
        <v>3742</v>
      </c>
      <c r="D1228" s="1">
        <v>80</v>
      </c>
      <c r="E1228" s="2" t="s">
        <v>3743</v>
      </c>
      <c r="F1228" s="3">
        <v>1</v>
      </c>
      <c r="G1228" s="33">
        <v>32874</v>
      </c>
      <c r="H1228" s="30">
        <v>41572</v>
      </c>
      <c r="I1228" s="1"/>
      <c r="J1228" s="1"/>
      <c r="K1228" s="1"/>
      <c r="L1228" s="1"/>
      <c r="M1228" s="1"/>
      <c r="P1228" s="3"/>
      <c r="R1228" s="1"/>
      <c r="S1228" s="1"/>
    </row>
    <row r="1229" spans="1:19" x14ac:dyDescent="0.65">
      <c r="A1229" s="34">
        <v>1228</v>
      </c>
      <c r="B1229" s="3" t="s">
        <v>3744</v>
      </c>
      <c r="C1229" s="1" t="s">
        <v>3745</v>
      </c>
      <c r="D1229" s="1">
        <v>81</v>
      </c>
      <c r="E1229" s="2" t="s">
        <v>3746</v>
      </c>
      <c r="F1229" s="3">
        <v>1</v>
      </c>
      <c r="G1229" s="33">
        <v>32874</v>
      </c>
      <c r="H1229" s="30">
        <v>43188</v>
      </c>
      <c r="I1229" s="1"/>
      <c r="J1229" s="1"/>
      <c r="K1229" s="1"/>
      <c r="L1229" s="1"/>
      <c r="M1229" s="1"/>
      <c r="P1229" s="3"/>
      <c r="R1229" s="1"/>
      <c r="S1229" s="1"/>
    </row>
    <row r="1230" spans="1:19" x14ac:dyDescent="0.65">
      <c r="A1230" s="34">
        <v>1229</v>
      </c>
      <c r="B1230" s="3" t="s">
        <v>3747</v>
      </c>
      <c r="C1230" s="1" t="s">
        <v>3748</v>
      </c>
      <c r="D1230" s="1">
        <v>81</v>
      </c>
      <c r="E1230" s="2" t="s">
        <v>3749</v>
      </c>
      <c r="F1230" s="3">
        <v>1</v>
      </c>
      <c r="G1230" s="33">
        <v>32874</v>
      </c>
      <c r="H1230" s="30">
        <v>43188</v>
      </c>
      <c r="I1230" s="1"/>
      <c r="J1230" s="1"/>
      <c r="K1230" s="1"/>
      <c r="L1230" s="1"/>
      <c r="M1230" s="1"/>
      <c r="P1230" s="3"/>
      <c r="R1230" s="1"/>
      <c r="S1230" s="1"/>
    </row>
    <row r="1231" spans="1:19" x14ac:dyDescent="0.65">
      <c r="A1231" s="34">
        <v>1230</v>
      </c>
      <c r="B1231" s="3" t="s">
        <v>3750</v>
      </c>
      <c r="C1231" s="1" t="s">
        <v>3751</v>
      </c>
      <c r="D1231" s="1">
        <v>81</v>
      </c>
      <c r="E1231" s="2" t="s">
        <v>3752</v>
      </c>
      <c r="F1231" s="3">
        <v>1</v>
      </c>
      <c r="G1231" s="33">
        <v>32874</v>
      </c>
      <c r="H1231" s="30">
        <v>43817</v>
      </c>
      <c r="I1231" s="1"/>
      <c r="J1231" s="1"/>
      <c r="K1231" s="1"/>
      <c r="L1231" s="1"/>
      <c r="M1231" s="1"/>
      <c r="P1231" s="3"/>
      <c r="R1231" s="1"/>
      <c r="S1231" s="1"/>
    </row>
    <row r="1232" spans="1:19" x14ac:dyDescent="0.65">
      <c r="A1232" s="34">
        <v>1231</v>
      </c>
      <c r="B1232" s="3" t="s">
        <v>3753</v>
      </c>
      <c r="C1232" s="1" t="s">
        <v>3754</v>
      </c>
      <c r="D1232" s="1">
        <v>78</v>
      </c>
      <c r="E1232" s="2" t="s">
        <v>3755</v>
      </c>
      <c r="F1232" s="3">
        <v>1</v>
      </c>
      <c r="G1232" s="33">
        <v>32874</v>
      </c>
      <c r="H1232" s="30">
        <v>45873.516215277778</v>
      </c>
      <c r="I1232" s="1"/>
      <c r="J1232" s="1"/>
      <c r="K1232" s="1"/>
      <c r="L1232" s="1"/>
      <c r="M1232" s="1"/>
      <c r="P1232" s="3"/>
      <c r="R1232" s="1"/>
      <c r="S1232" s="1"/>
    </row>
    <row r="1233" spans="1:19" x14ac:dyDescent="0.65">
      <c r="A1233" s="34">
        <v>1232</v>
      </c>
      <c r="B1233" s="3" t="s">
        <v>3756</v>
      </c>
      <c r="C1233" s="1" t="s">
        <v>3757</v>
      </c>
      <c r="D1233" s="1">
        <v>81</v>
      </c>
      <c r="E1233" s="2" t="s">
        <v>3758</v>
      </c>
      <c r="F1233" s="3">
        <v>1</v>
      </c>
      <c r="G1233" s="33">
        <v>32874</v>
      </c>
      <c r="H1233" s="30">
        <v>45495</v>
      </c>
      <c r="I1233" s="1"/>
      <c r="J1233" s="1"/>
      <c r="K1233" s="1"/>
      <c r="L1233" s="1"/>
      <c r="M1233" s="1"/>
      <c r="P1233" s="3"/>
      <c r="R1233" s="1"/>
      <c r="S1233" s="1"/>
    </row>
    <row r="1234" spans="1:19" x14ac:dyDescent="0.65">
      <c r="A1234" s="34">
        <v>1233</v>
      </c>
      <c r="B1234" s="3" t="s">
        <v>3759</v>
      </c>
      <c r="C1234" s="1" t="s">
        <v>3760</v>
      </c>
      <c r="D1234" s="1">
        <v>81</v>
      </c>
      <c r="E1234" s="2" t="s">
        <v>3761</v>
      </c>
      <c r="F1234" s="3">
        <v>1</v>
      </c>
      <c r="G1234" s="33">
        <v>32874</v>
      </c>
      <c r="H1234" s="30">
        <v>43808</v>
      </c>
      <c r="I1234" s="1"/>
      <c r="J1234" s="1"/>
      <c r="K1234" s="1"/>
      <c r="L1234" s="1"/>
      <c r="M1234" s="1"/>
      <c r="P1234" s="3"/>
      <c r="R1234" s="1"/>
      <c r="S1234" s="1"/>
    </row>
    <row r="1235" spans="1:19" x14ac:dyDescent="0.65">
      <c r="A1235" s="34">
        <v>1234</v>
      </c>
      <c r="B1235" s="3" t="s">
        <v>3762</v>
      </c>
      <c r="C1235" s="1" t="s">
        <v>3763</v>
      </c>
      <c r="D1235" s="1">
        <v>81</v>
      </c>
      <c r="E1235" s="2" t="s">
        <v>3764</v>
      </c>
      <c r="F1235" s="3">
        <v>1</v>
      </c>
      <c r="G1235" s="33">
        <v>32874</v>
      </c>
      <c r="H1235" s="30">
        <v>45495</v>
      </c>
      <c r="I1235" s="1"/>
      <c r="J1235" s="1"/>
      <c r="K1235" s="1"/>
      <c r="L1235" s="1"/>
      <c r="M1235" s="1"/>
      <c r="P1235" s="3"/>
      <c r="R1235" s="1"/>
      <c r="S1235" s="1"/>
    </row>
    <row r="1236" spans="1:19" x14ac:dyDescent="0.65">
      <c r="A1236" s="34">
        <v>1235</v>
      </c>
      <c r="B1236" s="3" t="s">
        <v>3765</v>
      </c>
      <c r="C1236" s="1" t="s">
        <v>3766</v>
      </c>
      <c r="D1236" s="1">
        <v>81</v>
      </c>
      <c r="E1236" s="2" t="s">
        <v>3767</v>
      </c>
      <c r="F1236" s="3">
        <v>1</v>
      </c>
      <c r="G1236" s="33">
        <v>32874</v>
      </c>
      <c r="H1236" s="30">
        <v>45747.692777777775</v>
      </c>
      <c r="I1236" s="1"/>
      <c r="J1236" s="1"/>
      <c r="K1236" s="1"/>
      <c r="L1236" s="1"/>
      <c r="M1236" s="1"/>
      <c r="P1236" s="3"/>
      <c r="R1236" s="1"/>
      <c r="S1236" s="1"/>
    </row>
    <row r="1237" spans="1:19" x14ac:dyDescent="0.65">
      <c r="A1237" s="34">
        <v>1236</v>
      </c>
      <c r="B1237" s="3" t="s">
        <v>3769</v>
      </c>
      <c r="C1237" s="1" t="s">
        <v>3770</v>
      </c>
      <c r="D1237" s="1">
        <v>82</v>
      </c>
      <c r="E1237" s="2" t="s">
        <v>3771</v>
      </c>
      <c r="F1237" s="3">
        <v>1</v>
      </c>
      <c r="G1237" s="33">
        <v>32874</v>
      </c>
      <c r="H1237" s="30">
        <v>42072</v>
      </c>
      <c r="I1237" s="1"/>
      <c r="J1237" s="1"/>
      <c r="K1237" s="1"/>
      <c r="L1237" s="1"/>
      <c r="M1237" s="1"/>
      <c r="P1237" s="3"/>
      <c r="R1237" s="1"/>
      <c r="S1237" s="1"/>
    </row>
    <row r="1238" spans="1:19" x14ac:dyDescent="0.65">
      <c r="A1238" s="34">
        <v>1237</v>
      </c>
      <c r="B1238" s="3" t="s">
        <v>3773</v>
      </c>
      <c r="C1238" s="1" t="s">
        <v>3774</v>
      </c>
      <c r="D1238" s="1">
        <v>78</v>
      </c>
      <c r="E1238" s="2" t="s">
        <v>3775</v>
      </c>
      <c r="F1238" s="3">
        <v>1</v>
      </c>
      <c r="G1238" s="33">
        <v>32874</v>
      </c>
      <c r="H1238" s="30">
        <v>42327</v>
      </c>
      <c r="I1238" s="1"/>
      <c r="J1238" s="1"/>
      <c r="K1238" s="1"/>
      <c r="L1238" s="1"/>
      <c r="M1238" s="1"/>
      <c r="P1238" s="3"/>
      <c r="R1238" s="1"/>
      <c r="S1238" s="1"/>
    </row>
    <row r="1239" spans="1:19" x14ac:dyDescent="0.65">
      <c r="A1239" s="34">
        <v>1238</v>
      </c>
      <c r="B1239" s="3" t="s">
        <v>3776</v>
      </c>
      <c r="C1239" s="1" t="s">
        <v>3777</v>
      </c>
      <c r="D1239" s="1">
        <v>80</v>
      </c>
      <c r="E1239" s="2" t="s">
        <v>3778</v>
      </c>
      <c r="F1239" s="3">
        <v>1</v>
      </c>
      <c r="G1239" s="33">
        <v>32874</v>
      </c>
      <c r="H1239" s="30">
        <v>45012</v>
      </c>
      <c r="I1239" s="1"/>
      <c r="J1239" s="1"/>
      <c r="K1239" s="1"/>
      <c r="L1239" s="1"/>
      <c r="M1239" s="1"/>
      <c r="P1239" s="3"/>
      <c r="R1239" s="1"/>
      <c r="S1239" s="1"/>
    </row>
    <row r="1240" spans="1:19" x14ac:dyDescent="0.65">
      <c r="A1240" s="34">
        <v>1239</v>
      </c>
      <c r="B1240" s="3" t="s">
        <v>3779</v>
      </c>
      <c r="C1240" s="1" t="s">
        <v>3780</v>
      </c>
      <c r="D1240" s="1">
        <v>82</v>
      </c>
      <c r="E1240" s="2" t="s">
        <v>3781</v>
      </c>
      <c r="F1240" s="3">
        <v>1</v>
      </c>
      <c r="G1240" s="33">
        <v>32874</v>
      </c>
      <c r="H1240" s="30">
        <v>44903</v>
      </c>
      <c r="I1240" s="1"/>
      <c r="J1240" s="1"/>
      <c r="K1240" s="1"/>
      <c r="L1240" s="1"/>
      <c r="M1240" s="1"/>
      <c r="P1240" s="3"/>
      <c r="R1240" s="1"/>
      <c r="S1240" s="1"/>
    </row>
    <row r="1241" spans="1:19" x14ac:dyDescent="0.65">
      <c r="A1241" s="34">
        <v>1240</v>
      </c>
      <c r="B1241" s="3" t="s">
        <v>3782</v>
      </c>
      <c r="C1241" s="1" t="s">
        <v>3783</v>
      </c>
      <c r="D1241" s="1">
        <v>80</v>
      </c>
      <c r="E1241" s="2" t="s">
        <v>3784</v>
      </c>
      <c r="F1241" s="3">
        <v>1</v>
      </c>
      <c r="G1241" s="33">
        <v>32874</v>
      </c>
      <c r="H1241" s="30">
        <v>45754.510914351849</v>
      </c>
      <c r="I1241" s="1"/>
      <c r="J1241" s="1"/>
      <c r="K1241" s="1"/>
      <c r="L1241" s="1"/>
      <c r="M1241" s="1"/>
      <c r="P1241" s="3"/>
      <c r="R1241" s="1"/>
      <c r="S1241" s="1"/>
    </row>
    <row r="1242" spans="1:19" x14ac:dyDescent="0.65">
      <c r="A1242" s="34">
        <v>1241</v>
      </c>
      <c r="B1242" s="3" t="s">
        <v>3785</v>
      </c>
      <c r="C1242" s="1" t="s">
        <v>3786</v>
      </c>
      <c r="D1242" s="1">
        <v>81</v>
      </c>
      <c r="E1242" s="2" t="s">
        <v>3787</v>
      </c>
      <c r="F1242" s="3">
        <v>1</v>
      </c>
      <c r="G1242" s="33">
        <v>32874</v>
      </c>
      <c r="H1242" s="30">
        <v>42613</v>
      </c>
      <c r="I1242" s="1"/>
      <c r="J1242" s="1"/>
      <c r="K1242" s="1"/>
      <c r="L1242" s="1"/>
      <c r="M1242" s="1"/>
      <c r="P1242" s="3"/>
      <c r="R1242" s="1"/>
      <c r="S1242" s="1"/>
    </row>
    <row r="1243" spans="1:19" x14ac:dyDescent="0.65">
      <c r="A1243" s="34">
        <v>1242</v>
      </c>
      <c r="B1243" s="3" t="s">
        <v>3788</v>
      </c>
      <c r="C1243" s="1" t="s">
        <v>3789</v>
      </c>
      <c r="D1243" s="1">
        <v>81</v>
      </c>
      <c r="E1243" s="2" t="s">
        <v>3790</v>
      </c>
      <c r="F1243" s="3">
        <v>1</v>
      </c>
      <c r="G1243" s="33">
        <v>32874</v>
      </c>
      <c r="H1243" s="30">
        <v>45378</v>
      </c>
      <c r="I1243" s="1"/>
      <c r="J1243" s="1"/>
      <c r="K1243" s="1"/>
      <c r="L1243" s="1"/>
      <c r="M1243" s="1"/>
      <c r="P1243" s="3"/>
      <c r="R1243" s="1"/>
      <c r="S1243" s="1"/>
    </row>
    <row r="1244" spans="1:19" x14ac:dyDescent="0.65">
      <c r="A1244" s="34">
        <v>1243</v>
      </c>
      <c r="B1244" s="3" t="s">
        <v>3791</v>
      </c>
      <c r="C1244" s="1" t="s">
        <v>3792</v>
      </c>
      <c r="D1244" s="1">
        <v>80</v>
      </c>
      <c r="E1244" s="2" t="s">
        <v>3793</v>
      </c>
      <c r="F1244" s="3">
        <v>1</v>
      </c>
      <c r="G1244" s="33">
        <v>32874</v>
      </c>
      <c r="H1244" s="30">
        <v>43049</v>
      </c>
      <c r="I1244" s="1"/>
      <c r="J1244" s="1"/>
      <c r="K1244" s="1"/>
      <c r="L1244" s="1"/>
      <c r="M1244" s="1"/>
      <c r="P1244" s="3"/>
      <c r="R1244" s="1"/>
      <c r="S1244" s="1"/>
    </row>
    <row r="1245" spans="1:19" x14ac:dyDescent="0.65">
      <c r="A1245" s="34">
        <v>1244</v>
      </c>
      <c r="B1245" s="3" t="s">
        <v>3794</v>
      </c>
      <c r="C1245" s="1" t="s">
        <v>3795</v>
      </c>
      <c r="D1245" s="1">
        <v>78</v>
      </c>
      <c r="E1245" s="2" t="s">
        <v>3796</v>
      </c>
      <c r="F1245" s="3">
        <v>1</v>
      </c>
      <c r="G1245" s="33">
        <v>32874</v>
      </c>
      <c r="H1245" s="30">
        <v>43067</v>
      </c>
      <c r="I1245" s="1"/>
      <c r="J1245" s="1"/>
      <c r="K1245" s="1"/>
      <c r="L1245" s="1"/>
      <c r="M1245" s="1"/>
      <c r="P1245" s="3"/>
      <c r="R1245" s="1"/>
      <c r="S1245" s="1"/>
    </row>
    <row r="1246" spans="1:19" x14ac:dyDescent="0.65">
      <c r="A1246" s="34">
        <v>1245</v>
      </c>
      <c r="B1246" s="3" t="s">
        <v>3797</v>
      </c>
      <c r="C1246" s="1" t="s">
        <v>3798</v>
      </c>
      <c r="D1246" s="1">
        <v>80</v>
      </c>
      <c r="E1246" s="2" t="s">
        <v>3799</v>
      </c>
      <c r="F1246" s="3">
        <v>1</v>
      </c>
      <c r="G1246" s="33">
        <v>32874</v>
      </c>
      <c r="H1246" s="30">
        <v>45387</v>
      </c>
      <c r="I1246" s="1"/>
      <c r="J1246" s="1"/>
      <c r="K1246" s="1"/>
      <c r="L1246" s="1"/>
      <c r="M1246" s="1"/>
      <c r="P1246" s="3"/>
      <c r="R1246" s="1"/>
      <c r="S1246" s="1"/>
    </row>
    <row r="1247" spans="1:19" x14ac:dyDescent="0.65">
      <c r="A1247" s="34">
        <v>1246</v>
      </c>
      <c r="B1247" s="3" t="s">
        <v>3800</v>
      </c>
      <c r="C1247" s="1" t="s">
        <v>3801</v>
      </c>
      <c r="D1247" s="1">
        <v>78</v>
      </c>
      <c r="E1247" s="2" t="s">
        <v>3802</v>
      </c>
      <c r="F1247" s="3">
        <v>1</v>
      </c>
      <c r="G1247" s="33">
        <v>32874</v>
      </c>
      <c r="H1247" s="30">
        <v>45159</v>
      </c>
      <c r="I1247" s="1"/>
      <c r="J1247" s="1"/>
      <c r="K1247" s="1"/>
      <c r="L1247" s="1"/>
      <c r="M1247" s="1"/>
      <c r="P1247" s="3"/>
      <c r="R1247" s="1"/>
      <c r="S1247" s="1"/>
    </row>
    <row r="1248" spans="1:19" x14ac:dyDescent="0.65">
      <c r="A1248" s="34">
        <v>1247</v>
      </c>
      <c r="B1248" s="3" t="s">
        <v>3803</v>
      </c>
      <c r="C1248" s="1" t="s">
        <v>3804</v>
      </c>
      <c r="D1248" s="1">
        <v>79</v>
      </c>
      <c r="E1248" s="2" t="s">
        <v>3805</v>
      </c>
      <c r="F1248" s="3">
        <v>1</v>
      </c>
      <c r="G1248" s="33">
        <v>32874</v>
      </c>
      <c r="H1248" s="30">
        <v>43203</v>
      </c>
      <c r="I1248" s="1"/>
      <c r="J1248" s="1"/>
      <c r="K1248" s="1"/>
      <c r="L1248" s="1"/>
      <c r="M1248" s="1"/>
      <c r="P1248" s="3"/>
      <c r="R1248" s="1"/>
      <c r="S1248" s="1"/>
    </row>
    <row r="1249" spans="1:19" x14ac:dyDescent="0.65">
      <c r="A1249" s="34">
        <v>1248</v>
      </c>
      <c r="B1249" s="3" t="s">
        <v>3806</v>
      </c>
      <c r="C1249" s="1" t="s">
        <v>3807</v>
      </c>
      <c r="D1249" s="1">
        <v>80</v>
      </c>
      <c r="E1249" s="2" t="s">
        <v>3808</v>
      </c>
      <c r="F1249" s="3">
        <v>1</v>
      </c>
      <c r="G1249" s="33">
        <v>32874</v>
      </c>
      <c r="H1249" s="30">
        <v>45918.522893518515</v>
      </c>
      <c r="I1249" s="1"/>
      <c r="J1249" s="1"/>
      <c r="K1249" s="1"/>
      <c r="L1249" s="1"/>
      <c r="M1249" s="1"/>
      <c r="P1249" s="3"/>
      <c r="R1249" s="1"/>
      <c r="S1249" s="1"/>
    </row>
    <row r="1250" spans="1:19" x14ac:dyDescent="0.65">
      <c r="A1250" s="34">
        <v>1249</v>
      </c>
      <c r="B1250" s="3" t="s">
        <v>3809</v>
      </c>
      <c r="C1250" s="1" t="s">
        <v>3810</v>
      </c>
      <c r="D1250" s="1">
        <v>80</v>
      </c>
      <c r="E1250" s="2" t="s">
        <v>3811</v>
      </c>
      <c r="F1250" s="3">
        <v>1</v>
      </c>
      <c r="G1250" s="33">
        <v>32874</v>
      </c>
      <c r="H1250" s="30">
        <v>44879</v>
      </c>
      <c r="I1250" s="1"/>
      <c r="J1250" s="1"/>
      <c r="K1250" s="1"/>
      <c r="L1250" s="1"/>
      <c r="M1250" s="1"/>
      <c r="P1250" s="3"/>
      <c r="R1250" s="1"/>
      <c r="S1250" s="1"/>
    </row>
    <row r="1251" spans="1:19" x14ac:dyDescent="0.65">
      <c r="A1251" s="34">
        <v>1250</v>
      </c>
      <c r="B1251" s="3" t="s">
        <v>3812</v>
      </c>
      <c r="C1251" s="1" t="s">
        <v>3813</v>
      </c>
      <c r="D1251" s="1">
        <v>78</v>
      </c>
      <c r="E1251" s="2" t="s">
        <v>3814</v>
      </c>
      <c r="F1251" s="3">
        <v>1</v>
      </c>
      <c r="G1251" s="33">
        <v>32874</v>
      </c>
      <c r="H1251" s="30">
        <v>45159</v>
      </c>
      <c r="I1251" s="1"/>
      <c r="J1251" s="1"/>
      <c r="K1251" s="1"/>
      <c r="L1251" s="1"/>
      <c r="M1251" s="1"/>
      <c r="P1251" s="3"/>
      <c r="R1251" s="1"/>
      <c r="S1251" s="1"/>
    </row>
    <row r="1252" spans="1:19" x14ac:dyDescent="0.65">
      <c r="A1252" s="34">
        <v>1251</v>
      </c>
      <c r="B1252" s="3" t="s">
        <v>3815</v>
      </c>
      <c r="C1252" s="1" t="s">
        <v>3816</v>
      </c>
      <c r="D1252" s="1">
        <v>80</v>
      </c>
      <c r="E1252" s="2" t="s">
        <v>3817</v>
      </c>
      <c r="F1252" s="3">
        <v>1</v>
      </c>
      <c r="G1252" s="33">
        <v>32874</v>
      </c>
      <c r="H1252" s="30">
        <v>43875</v>
      </c>
      <c r="I1252" s="1"/>
      <c r="J1252" s="1"/>
      <c r="K1252" s="1"/>
      <c r="L1252" s="1"/>
      <c r="M1252" s="1"/>
      <c r="P1252" s="3"/>
      <c r="R1252" s="1"/>
      <c r="S1252" s="1"/>
    </row>
    <row r="1253" spans="1:19" x14ac:dyDescent="0.65">
      <c r="A1253" s="34">
        <v>1252</v>
      </c>
      <c r="B1253" s="3" t="s">
        <v>3818</v>
      </c>
      <c r="C1253" s="1" t="s">
        <v>3819</v>
      </c>
      <c r="D1253" s="1">
        <v>80</v>
      </c>
      <c r="E1253" s="2" t="s">
        <v>3820</v>
      </c>
      <c r="F1253" s="3">
        <v>1</v>
      </c>
      <c r="G1253" s="33">
        <v>32874</v>
      </c>
      <c r="H1253" s="30">
        <v>44000</v>
      </c>
      <c r="I1253" s="1"/>
      <c r="J1253" s="1"/>
      <c r="K1253" s="1"/>
      <c r="L1253" s="1"/>
      <c r="M1253" s="1"/>
      <c r="P1253" s="3"/>
      <c r="R1253" s="1"/>
      <c r="S1253" s="1"/>
    </row>
    <row r="1254" spans="1:19" x14ac:dyDescent="0.65">
      <c r="A1254" s="34">
        <v>1253</v>
      </c>
      <c r="B1254" s="3" t="s">
        <v>3821</v>
      </c>
      <c r="C1254" s="1" t="s">
        <v>3822</v>
      </c>
      <c r="D1254" s="1">
        <v>80</v>
      </c>
      <c r="E1254" s="2" t="s">
        <v>3823</v>
      </c>
      <c r="F1254" s="3">
        <v>1</v>
      </c>
      <c r="G1254" s="33">
        <v>32874</v>
      </c>
      <c r="H1254" s="30">
        <v>44008</v>
      </c>
      <c r="I1254" s="1"/>
      <c r="J1254" s="1"/>
      <c r="K1254" s="1"/>
      <c r="L1254" s="1"/>
      <c r="M1254" s="1"/>
      <c r="P1254" s="3"/>
      <c r="R1254" s="1"/>
      <c r="S1254" s="1"/>
    </row>
    <row r="1255" spans="1:19" x14ac:dyDescent="0.65">
      <c r="A1255" s="34">
        <v>1254</v>
      </c>
      <c r="B1255" s="3" t="s">
        <v>3824</v>
      </c>
      <c r="C1255" s="1" t="s">
        <v>3825</v>
      </c>
      <c r="D1255" s="1">
        <v>80</v>
      </c>
      <c r="E1255" s="2" t="s">
        <v>3826</v>
      </c>
      <c r="F1255" s="3">
        <v>1</v>
      </c>
      <c r="G1255" s="33">
        <v>32874</v>
      </c>
      <c r="H1255" s="30">
        <v>44008</v>
      </c>
      <c r="I1255" s="1"/>
      <c r="J1255" s="1"/>
      <c r="K1255" s="1"/>
      <c r="L1255" s="1"/>
      <c r="M1255" s="1"/>
      <c r="P1255" s="3"/>
      <c r="R1255" s="1"/>
      <c r="S1255" s="1"/>
    </row>
    <row r="1256" spans="1:19" x14ac:dyDescent="0.65">
      <c r="A1256" s="34">
        <v>1255</v>
      </c>
      <c r="B1256" s="3" t="s">
        <v>3827</v>
      </c>
      <c r="C1256" s="1" t="s">
        <v>3828</v>
      </c>
      <c r="D1256" s="1">
        <v>80</v>
      </c>
      <c r="E1256" s="2" t="s">
        <v>3829</v>
      </c>
      <c r="F1256" s="3">
        <v>1</v>
      </c>
      <c r="G1256" s="33">
        <v>32874</v>
      </c>
      <c r="H1256" s="30">
        <v>44116</v>
      </c>
      <c r="I1256" s="1"/>
      <c r="J1256" s="1"/>
      <c r="K1256" s="1"/>
      <c r="L1256" s="1"/>
      <c r="M1256" s="1"/>
      <c r="P1256" s="3"/>
      <c r="R1256" s="1"/>
      <c r="S1256" s="1"/>
    </row>
    <row r="1257" spans="1:19" x14ac:dyDescent="0.65">
      <c r="A1257" s="34">
        <v>1256</v>
      </c>
      <c r="B1257" s="3" t="s">
        <v>3830</v>
      </c>
      <c r="C1257" s="1" t="s">
        <v>3831</v>
      </c>
      <c r="D1257" s="1">
        <v>80</v>
      </c>
      <c r="E1257" s="2" t="s">
        <v>3832</v>
      </c>
      <c r="F1257" s="3">
        <v>1</v>
      </c>
      <c r="G1257" s="33">
        <v>32874</v>
      </c>
      <c r="H1257" s="30">
        <v>44260</v>
      </c>
      <c r="I1257" s="1"/>
      <c r="J1257" s="1"/>
      <c r="K1257" s="1"/>
      <c r="L1257" s="1"/>
      <c r="M1257" s="1"/>
      <c r="P1257" s="3"/>
      <c r="R1257" s="1"/>
      <c r="S1257" s="1"/>
    </row>
    <row r="1258" spans="1:19" x14ac:dyDescent="0.65">
      <c r="A1258" s="34">
        <v>1257</v>
      </c>
      <c r="B1258" s="3" t="s">
        <v>3833</v>
      </c>
      <c r="C1258" s="1" t="s">
        <v>3834</v>
      </c>
      <c r="D1258" s="1">
        <v>80</v>
      </c>
      <c r="E1258" s="2" t="s">
        <v>3835</v>
      </c>
      <c r="F1258" s="3">
        <v>1</v>
      </c>
      <c r="G1258" s="33">
        <v>32874</v>
      </c>
      <c r="H1258" s="30">
        <v>45422</v>
      </c>
      <c r="I1258" s="1"/>
      <c r="J1258" s="1"/>
      <c r="K1258" s="1"/>
      <c r="L1258" s="1"/>
      <c r="M1258" s="1"/>
      <c r="P1258" s="3"/>
      <c r="R1258" s="1"/>
      <c r="S1258" s="1"/>
    </row>
    <row r="1259" spans="1:19" x14ac:dyDescent="0.65">
      <c r="A1259" s="34">
        <v>1258</v>
      </c>
      <c r="B1259" s="3" t="s">
        <v>3836</v>
      </c>
      <c r="C1259" s="1" t="s">
        <v>3837</v>
      </c>
      <c r="D1259" s="1">
        <v>81</v>
      </c>
      <c r="E1259" s="2" t="s">
        <v>3838</v>
      </c>
      <c r="F1259" s="3">
        <v>1</v>
      </c>
      <c r="G1259" s="33">
        <v>32874</v>
      </c>
      <c r="H1259" s="30">
        <v>45378</v>
      </c>
      <c r="I1259" s="1"/>
      <c r="J1259" s="1"/>
      <c r="K1259" s="1"/>
      <c r="L1259" s="1"/>
      <c r="M1259" s="1"/>
      <c r="P1259" s="3"/>
      <c r="R1259" s="1"/>
      <c r="S1259" s="1"/>
    </row>
    <row r="1260" spans="1:19" x14ac:dyDescent="0.65">
      <c r="A1260" s="34">
        <v>1259</v>
      </c>
      <c r="B1260" s="3" t="s">
        <v>3839</v>
      </c>
      <c r="C1260" s="1" t="s">
        <v>3840</v>
      </c>
      <c r="D1260" s="1">
        <v>78</v>
      </c>
      <c r="E1260" s="2" t="s">
        <v>3841</v>
      </c>
      <c r="F1260" s="3">
        <v>1</v>
      </c>
      <c r="G1260" s="33">
        <v>32874</v>
      </c>
      <c r="H1260" s="30">
        <v>44398</v>
      </c>
      <c r="I1260" s="1"/>
      <c r="J1260" s="1"/>
      <c r="K1260" s="1"/>
      <c r="L1260" s="1"/>
      <c r="M1260" s="1"/>
      <c r="P1260" s="3"/>
      <c r="R1260" s="1"/>
      <c r="S1260" s="1"/>
    </row>
    <row r="1261" spans="1:19" x14ac:dyDescent="0.65">
      <c r="A1261" s="34">
        <v>1260</v>
      </c>
      <c r="B1261" s="3" t="s">
        <v>3842</v>
      </c>
      <c r="C1261" s="1" t="s">
        <v>3843</v>
      </c>
      <c r="D1261" s="1">
        <v>81</v>
      </c>
      <c r="E1261" s="2" t="s">
        <v>3844</v>
      </c>
      <c r="F1261" s="3">
        <v>1</v>
      </c>
      <c r="G1261" s="33">
        <v>32874</v>
      </c>
      <c r="H1261" s="30">
        <v>44502</v>
      </c>
      <c r="I1261" s="1"/>
      <c r="J1261" s="1"/>
      <c r="K1261" s="1"/>
      <c r="L1261" s="1"/>
      <c r="M1261" s="1"/>
      <c r="P1261" s="3"/>
      <c r="R1261" s="1"/>
      <c r="S1261" s="1"/>
    </row>
    <row r="1262" spans="1:19" x14ac:dyDescent="0.65">
      <c r="A1262" s="34">
        <v>1261</v>
      </c>
      <c r="B1262" s="3" t="s">
        <v>3845</v>
      </c>
      <c r="C1262" s="1" t="s">
        <v>3846</v>
      </c>
      <c r="D1262" s="1">
        <v>81</v>
      </c>
      <c r="E1262" s="2" t="s">
        <v>3847</v>
      </c>
      <c r="F1262" s="3">
        <v>1</v>
      </c>
      <c r="G1262" s="33">
        <v>32874</v>
      </c>
      <c r="H1262" s="30">
        <v>44511</v>
      </c>
      <c r="I1262" s="1"/>
      <c r="J1262" s="1"/>
      <c r="K1262" s="1"/>
      <c r="L1262" s="1"/>
      <c r="M1262" s="1"/>
      <c r="P1262" s="3"/>
      <c r="R1262" s="1"/>
      <c r="S1262" s="1"/>
    </row>
    <row r="1263" spans="1:19" x14ac:dyDescent="0.65">
      <c r="A1263" s="34">
        <v>1262</v>
      </c>
      <c r="B1263" s="3" t="s">
        <v>3848</v>
      </c>
      <c r="C1263" s="1" t="s">
        <v>3849</v>
      </c>
      <c r="D1263" s="1">
        <v>80</v>
      </c>
      <c r="E1263" s="2" t="s">
        <v>3850</v>
      </c>
      <c r="F1263" s="3">
        <v>1</v>
      </c>
      <c r="G1263" s="33">
        <v>32874</v>
      </c>
      <c r="H1263" s="30">
        <v>44601</v>
      </c>
      <c r="I1263" s="1"/>
      <c r="J1263" s="1"/>
      <c r="K1263" s="1"/>
      <c r="L1263" s="1"/>
      <c r="M1263" s="1"/>
      <c r="P1263" s="3"/>
      <c r="R1263" s="1"/>
      <c r="S1263" s="1"/>
    </row>
    <row r="1264" spans="1:19" x14ac:dyDescent="0.65">
      <c r="A1264" s="34">
        <v>1263</v>
      </c>
      <c r="B1264" s="3" t="s">
        <v>3851</v>
      </c>
      <c r="C1264" s="1" t="s">
        <v>3852</v>
      </c>
      <c r="D1264" s="1">
        <v>80</v>
      </c>
      <c r="E1264" s="2" t="s">
        <v>3853</v>
      </c>
      <c r="F1264" s="3">
        <v>1</v>
      </c>
      <c r="G1264" s="33">
        <v>32874</v>
      </c>
      <c r="H1264" s="30">
        <v>44601</v>
      </c>
      <c r="I1264" s="1"/>
      <c r="J1264" s="1"/>
      <c r="K1264" s="1"/>
      <c r="L1264" s="1"/>
      <c r="M1264" s="1"/>
      <c r="P1264" s="3"/>
      <c r="R1264" s="1"/>
      <c r="S1264" s="1"/>
    </row>
    <row r="1265" spans="1:19" x14ac:dyDescent="0.65">
      <c r="A1265" s="34">
        <v>1264</v>
      </c>
      <c r="B1265" s="3" t="s">
        <v>3854</v>
      </c>
      <c r="C1265" s="1" t="s">
        <v>3855</v>
      </c>
      <c r="D1265" s="1">
        <v>78</v>
      </c>
      <c r="E1265" s="2" t="s">
        <v>3856</v>
      </c>
      <c r="F1265" s="3">
        <v>1</v>
      </c>
      <c r="G1265" s="33">
        <v>32874</v>
      </c>
      <c r="H1265" s="30">
        <v>44908</v>
      </c>
      <c r="I1265" s="1"/>
      <c r="J1265" s="1"/>
      <c r="K1265" s="1"/>
      <c r="L1265" s="1"/>
      <c r="M1265" s="1"/>
      <c r="P1265" s="3"/>
      <c r="R1265" s="1"/>
      <c r="S1265" s="1"/>
    </row>
    <row r="1266" spans="1:19" x14ac:dyDescent="0.65">
      <c r="A1266" s="34">
        <v>1265</v>
      </c>
      <c r="B1266" s="3" t="s">
        <v>3857</v>
      </c>
      <c r="C1266" s="1" t="s">
        <v>3858</v>
      </c>
      <c r="D1266" s="1">
        <v>78</v>
      </c>
      <c r="E1266" s="2" t="s">
        <v>3859</v>
      </c>
      <c r="F1266" s="3">
        <v>1</v>
      </c>
      <c r="G1266" s="33">
        <v>32874</v>
      </c>
      <c r="H1266" s="30">
        <v>44610</v>
      </c>
      <c r="I1266" s="1"/>
      <c r="J1266" s="1"/>
      <c r="K1266" s="1"/>
      <c r="L1266" s="1"/>
      <c r="M1266" s="1"/>
      <c r="P1266" s="3"/>
      <c r="R1266" s="1"/>
      <c r="S1266" s="1"/>
    </row>
    <row r="1267" spans="1:19" x14ac:dyDescent="0.65">
      <c r="A1267" s="34">
        <v>1266</v>
      </c>
      <c r="B1267" s="3" t="s">
        <v>3860</v>
      </c>
      <c r="C1267" s="1" t="s">
        <v>3861</v>
      </c>
      <c r="D1267" s="1">
        <v>78</v>
      </c>
      <c r="E1267" s="2" t="s">
        <v>3862</v>
      </c>
      <c r="F1267" s="3">
        <v>1</v>
      </c>
      <c r="G1267" s="33">
        <v>32874</v>
      </c>
      <c r="H1267" s="30">
        <v>44610</v>
      </c>
      <c r="I1267" s="1"/>
      <c r="J1267" s="1"/>
      <c r="K1267" s="1"/>
      <c r="L1267" s="1"/>
      <c r="M1267" s="1"/>
      <c r="P1267" s="3"/>
      <c r="R1267" s="1"/>
      <c r="S1267" s="1"/>
    </row>
    <row r="1268" spans="1:19" x14ac:dyDescent="0.65">
      <c r="A1268" s="34">
        <v>1267</v>
      </c>
      <c r="B1268" s="3" t="s">
        <v>3863</v>
      </c>
      <c r="C1268" s="1" t="s">
        <v>3864</v>
      </c>
      <c r="D1268" s="1">
        <v>80</v>
      </c>
      <c r="E1268" s="2" t="s">
        <v>3865</v>
      </c>
      <c r="F1268" s="3">
        <v>1</v>
      </c>
      <c r="G1268" s="33">
        <v>32874</v>
      </c>
      <c r="H1268" s="30">
        <v>44778</v>
      </c>
      <c r="I1268" s="1"/>
      <c r="J1268" s="1"/>
      <c r="K1268" s="1"/>
      <c r="L1268" s="1"/>
      <c r="M1268" s="1"/>
      <c r="P1268" s="3"/>
      <c r="R1268" s="1"/>
      <c r="S1268" s="1"/>
    </row>
    <row r="1269" spans="1:19" x14ac:dyDescent="0.65">
      <c r="A1269" s="34">
        <v>1268</v>
      </c>
      <c r="B1269" s="3" t="s">
        <v>3866</v>
      </c>
      <c r="C1269" s="1" t="s">
        <v>3867</v>
      </c>
      <c r="D1269" s="1">
        <v>80</v>
      </c>
      <c r="E1269" s="2" t="s">
        <v>3868</v>
      </c>
      <c r="F1269" s="3">
        <v>1</v>
      </c>
      <c r="G1269" s="33">
        <v>32874</v>
      </c>
      <c r="H1269" s="30">
        <v>44873</v>
      </c>
      <c r="I1269" s="1"/>
      <c r="J1269" s="1"/>
      <c r="K1269" s="1"/>
      <c r="L1269" s="1"/>
      <c r="M1269" s="1"/>
      <c r="P1269" s="3"/>
      <c r="R1269" s="1"/>
      <c r="S1269" s="1"/>
    </row>
    <row r="1270" spans="1:19" x14ac:dyDescent="0.65">
      <c r="A1270" s="34">
        <v>1269</v>
      </c>
      <c r="B1270" s="3" t="s">
        <v>3869</v>
      </c>
      <c r="C1270" s="1" t="s">
        <v>3870</v>
      </c>
      <c r="D1270" s="1">
        <v>78</v>
      </c>
      <c r="E1270" s="2" t="s">
        <v>3871</v>
      </c>
      <c r="F1270" s="3">
        <v>1</v>
      </c>
      <c r="G1270" s="33">
        <v>32874</v>
      </c>
      <c r="H1270" s="30">
        <v>44900</v>
      </c>
      <c r="I1270" s="1"/>
      <c r="J1270" s="1"/>
      <c r="K1270" s="1"/>
      <c r="L1270" s="1"/>
      <c r="M1270" s="1"/>
      <c r="P1270" s="3"/>
      <c r="R1270" s="1"/>
      <c r="S1270" s="1"/>
    </row>
    <row r="1271" spans="1:19" x14ac:dyDescent="0.65">
      <c r="A1271" s="34">
        <v>1270</v>
      </c>
      <c r="B1271" s="3" t="s">
        <v>3872</v>
      </c>
      <c r="C1271" s="1" t="s">
        <v>3873</v>
      </c>
      <c r="D1271" s="1">
        <v>81</v>
      </c>
      <c r="E1271" s="2" t="s">
        <v>3874</v>
      </c>
      <c r="F1271" s="3">
        <v>1</v>
      </c>
      <c r="G1271" s="33">
        <v>32874</v>
      </c>
      <c r="H1271" s="30">
        <v>45672.627685185187</v>
      </c>
      <c r="I1271" s="1"/>
      <c r="J1271" s="1"/>
      <c r="K1271" s="1"/>
      <c r="L1271" s="1"/>
      <c r="M1271" s="1"/>
      <c r="P1271" s="3"/>
      <c r="R1271" s="1"/>
      <c r="S1271" s="1"/>
    </row>
    <row r="1272" spans="1:19" x14ac:dyDescent="0.65">
      <c r="A1272" s="34">
        <v>1271</v>
      </c>
      <c r="B1272" s="3" t="s">
        <v>3875</v>
      </c>
      <c r="C1272" s="1" t="s">
        <v>3876</v>
      </c>
      <c r="D1272" s="1">
        <v>78</v>
      </c>
      <c r="E1272" s="2" t="s">
        <v>3877</v>
      </c>
      <c r="F1272" s="3">
        <v>1</v>
      </c>
      <c r="G1272" s="33">
        <v>32874</v>
      </c>
      <c r="H1272" s="30">
        <v>45380</v>
      </c>
      <c r="I1272" s="1"/>
      <c r="J1272" s="1"/>
      <c r="K1272" s="1"/>
      <c r="L1272" s="1"/>
      <c r="M1272" s="1"/>
      <c r="P1272" s="3"/>
      <c r="R1272" s="1"/>
      <c r="S1272" s="1"/>
    </row>
    <row r="1273" spans="1:19" x14ac:dyDescent="0.65">
      <c r="A1273" s="34">
        <v>1272</v>
      </c>
      <c r="B1273" s="3" t="s">
        <v>3878</v>
      </c>
      <c r="C1273" s="1" t="s">
        <v>3879</v>
      </c>
      <c r="D1273" s="1">
        <v>80</v>
      </c>
      <c r="E1273" s="2" t="s">
        <v>3880</v>
      </c>
      <c r="F1273" s="3">
        <v>1</v>
      </c>
      <c r="G1273" s="33">
        <v>32874</v>
      </c>
      <c r="H1273" s="30">
        <v>45387</v>
      </c>
      <c r="I1273" s="1"/>
      <c r="J1273" s="1"/>
      <c r="K1273" s="1"/>
      <c r="L1273" s="1"/>
      <c r="M1273" s="1"/>
      <c r="P1273" s="3"/>
      <c r="R1273" s="1"/>
      <c r="S1273" s="1"/>
    </row>
    <row r="1274" spans="1:19" x14ac:dyDescent="0.65">
      <c r="A1274" s="34">
        <v>1273</v>
      </c>
      <c r="B1274" s="3" t="s">
        <v>3881</v>
      </c>
      <c r="C1274" s="1" t="s">
        <v>3882</v>
      </c>
      <c r="D1274" s="1">
        <v>81</v>
      </c>
      <c r="E1274" s="2" t="s">
        <v>3883</v>
      </c>
      <c r="F1274" s="3">
        <v>1</v>
      </c>
      <c r="G1274" s="33">
        <v>32874</v>
      </c>
      <c r="H1274" s="30">
        <v>45919.51902777778</v>
      </c>
      <c r="I1274" s="1"/>
      <c r="J1274" s="1"/>
      <c r="K1274" s="1"/>
      <c r="L1274" s="1"/>
      <c r="M1274" s="1"/>
      <c r="P1274" s="3"/>
      <c r="R1274" s="1"/>
      <c r="S1274" s="1"/>
    </row>
    <row r="1275" spans="1:19" x14ac:dyDescent="0.65">
      <c r="A1275" s="34">
        <v>1274</v>
      </c>
      <c r="B1275" s="3" t="s">
        <v>3884</v>
      </c>
      <c r="C1275" s="1" t="s">
        <v>3885</v>
      </c>
      <c r="D1275" s="1">
        <v>78</v>
      </c>
      <c r="E1275" s="2" t="s">
        <v>3886</v>
      </c>
      <c r="F1275" s="3">
        <v>1</v>
      </c>
      <c r="G1275" s="33">
        <v>32874</v>
      </c>
      <c r="H1275" s="30">
        <v>45924.63722222222</v>
      </c>
      <c r="I1275" s="1"/>
      <c r="J1275" s="1"/>
      <c r="K1275" s="1"/>
      <c r="L1275" s="1"/>
      <c r="M1275" s="1"/>
      <c r="P1275" s="3"/>
    </row>
    <row r="1276" spans="1:19" x14ac:dyDescent="0.65">
      <c r="A1276" s="34">
        <v>1275</v>
      </c>
      <c r="B1276" s="3" t="s">
        <v>3887</v>
      </c>
      <c r="C1276" s="1" t="s">
        <v>3888</v>
      </c>
      <c r="D1276" s="1">
        <v>79</v>
      </c>
      <c r="E1276" s="2" t="s">
        <v>3889</v>
      </c>
      <c r="F1276" s="3">
        <v>1</v>
      </c>
      <c r="G1276" s="33">
        <v>32874</v>
      </c>
      <c r="H1276" s="30">
        <v>45687.682789351849</v>
      </c>
      <c r="I1276" s="1"/>
      <c r="J1276" s="1"/>
      <c r="K1276" s="1"/>
      <c r="L1276" s="1"/>
      <c r="M1276" s="1"/>
      <c r="P1276" s="3"/>
    </row>
    <row r="1277" spans="1:19" x14ac:dyDescent="0.65">
      <c r="A1277" s="34">
        <v>1276</v>
      </c>
      <c r="B1277" s="3" t="s">
        <v>3890</v>
      </c>
      <c r="C1277" s="1" t="s">
        <v>3891</v>
      </c>
      <c r="D1277" s="1">
        <v>81</v>
      </c>
      <c r="E1277" s="2" t="s">
        <v>3892</v>
      </c>
      <c r="F1277" s="3">
        <v>1</v>
      </c>
      <c r="G1277" s="33">
        <v>32874</v>
      </c>
      <c r="H1277" s="30">
        <v>45687.54314814815</v>
      </c>
      <c r="I1277" s="1"/>
      <c r="J1277" s="1"/>
      <c r="K1277" s="1"/>
      <c r="L1277" s="1"/>
      <c r="M1277" s="1"/>
      <c r="P1277" s="3"/>
    </row>
    <row r="1278" spans="1:19" x14ac:dyDescent="0.65">
      <c r="A1278" s="34">
        <v>1277</v>
      </c>
      <c r="B1278" s="3" t="s">
        <v>3893</v>
      </c>
      <c r="C1278" s="1" t="s">
        <v>3894</v>
      </c>
      <c r="D1278" s="1">
        <v>81</v>
      </c>
      <c r="E1278" s="2" t="s">
        <v>3895</v>
      </c>
      <c r="F1278" s="3">
        <v>1</v>
      </c>
      <c r="G1278" s="33">
        <v>32874</v>
      </c>
      <c r="H1278" s="30">
        <v>45748.403958333336</v>
      </c>
      <c r="I1278" s="1"/>
      <c r="J1278" s="1"/>
      <c r="K1278" s="1"/>
      <c r="L1278" s="1"/>
      <c r="M1278" s="1"/>
      <c r="P1278" s="3"/>
    </row>
    <row r="1279" spans="1:19" x14ac:dyDescent="0.65">
      <c r="A1279" s="34">
        <v>1278</v>
      </c>
      <c r="B1279" s="3" t="s">
        <v>3896</v>
      </c>
      <c r="C1279" s="1" t="s">
        <v>3897</v>
      </c>
      <c r="D1279" s="1">
        <v>80</v>
      </c>
      <c r="E1279" s="2" t="s">
        <v>3898</v>
      </c>
      <c r="F1279" s="3">
        <v>1</v>
      </c>
      <c r="G1279" s="33">
        <v>32874</v>
      </c>
      <c r="H1279" s="30">
        <v>45737.623923611114</v>
      </c>
      <c r="I1279" s="1"/>
      <c r="J1279" s="1"/>
      <c r="K1279" s="1"/>
      <c r="L1279" s="1"/>
      <c r="M1279" s="1"/>
      <c r="P1279" s="3"/>
    </row>
    <row r="1280" spans="1:19" x14ac:dyDescent="0.65">
      <c r="A1280" s="34">
        <v>1279</v>
      </c>
      <c r="B1280" s="3" t="s">
        <v>3899</v>
      </c>
      <c r="C1280" s="1" t="s">
        <v>3900</v>
      </c>
      <c r="D1280" s="1">
        <v>78</v>
      </c>
      <c r="E1280" s="2" t="s">
        <v>3901</v>
      </c>
      <c r="F1280" s="3">
        <v>1</v>
      </c>
      <c r="G1280" s="33">
        <v>32874</v>
      </c>
      <c r="H1280" s="30">
        <v>45737.623923611114</v>
      </c>
      <c r="I1280" s="1"/>
      <c r="J1280" s="1"/>
      <c r="K1280" s="1"/>
      <c r="L1280" s="1"/>
      <c r="M1280" s="1"/>
      <c r="P1280" s="3"/>
    </row>
    <row r="1281" spans="1:19" x14ac:dyDescent="0.65">
      <c r="A1281" s="34">
        <v>1280</v>
      </c>
      <c r="B1281" s="3" t="s">
        <v>3902</v>
      </c>
      <c r="C1281" s="1" t="s">
        <v>3903</v>
      </c>
      <c r="D1281" s="1">
        <v>83</v>
      </c>
      <c r="E1281" s="2" t="s">
        <v>3904</v>
      </c>
      <c r="F1281" s="3">
        <v>1</v>
      </c>
      <c r="G1281" s="33">
        <v>32874</v>
      </c>
      <c r="H1281" s="30">
        <v>44477</v>
      </c>
      <c r="I1281" s="1"/>
      <c r="J1281" s="1"/>
      <c r="K1281" s="1"/>
      <c r="L1281" s="1"/>
      <c r="M1281" s="1"/>
      <c r="P1281" s="3"/>
      <c r="R1281" s="1"/>
      <c r="S1281" s="1"/>
    </row>
    <row r="1282" spans="1:19" x14ac:dyDescent="0.65">
      <c r="A1282" s="34">
        <v>1281</v>
      </c>
      <c r="B1282" s="3" t="s">
        <v>3905</v>
      </c>
      <c r="C1282" s="1" t="s">
        <v>3906</v>
      </c>
      <c r="D1282" s="1">
        <v>84</v>
      </c>
      <c r="E1282" s="2" t="s">
        <v>3907</v>
      </c>
      <c r="F1282" s="3">
        <v>1</v>
      </c>
      <c r="G1282" s="33">
        <v>32874</v>
      </c>
      <c r="H1282" s="30">
        <v>45356</v>
      </c>
      <c r="I1282" s="1"/>
      <c r="J1282" s="1"/>
      <c r="K1282" s="1"/>
      <c r="L1282" s="1"/>
      <c r="M1282" s="1"/>
      <c r="P1282" s="3"/>
      <c r="R1282" s="1"/>
      <c r="S1282" s="1"/>
    </row>
    <row r="1283" spans="1:19" x14ac:dyDescent="0.65">
      <c r="A1283" s="34">
        <v>1282</v>
      </c>
      <c r="B1283" s="3" t="s">
        <v>3908</v>
      </c>
      <c r="C1283" s="1" t="s">
        <v>3909</v>
      </c>
      <c r="D1283" s="1">
        <v>83</v>
      </c>
      <c r="E1283" s="2" t="s">
        <v>3910</v>
      </c>
      <c r="F1283" s="3">
        <v>1</v>
      </c>
      <c r="G1283" s="33">
        <v>32874</v>
      </c>
      <c r="H1283" s="30">
        <v>44473</v>
      </c>
      <c r="I1283" s="1"/>
      <c r="J1283" s="1"/>
      <c r="K1283" s="1"/>
      <c r="L1283" s="1"/>
      <c r="M1283" s="1"/>
      <c r="P1283" s="3"/>
      <c r="R1283" s="1"/>
      <c r="S1283" s="1"/>
    </row>
    <row r="1284" spans="1:19" x14ac:dyDescent="0.65">
      <c r="A1284" s="34">
        <v>1283</v>
      </c>
      <c r="B1284" s="3" t="s">
        <v>3911</v>
      </c>
      <c r="C1284" s="1" t="s">
        <v>3912</v>
      </c>
      <c r="D1284" s="1">
        <v>83</v>
      </c>
      <c r="E1284" s="2" t="s">
        <v>3913</v>
      </c>
      <c r="F1284" s="3">
        <v>1</v>
      </c>
      <c r="G1284" s="33">
        <v>32874</v>
      </c>
      <c r="H1284" s="30">
        <v>44468</v>
      </c>
      <c r="I1284" s="1"/>
      <c r="J1284" s="1"/>
      <c r="K1284" s="1"/>
      <c r="L1284" s="1"/>
      <c r="M1284" s="1"/>
      <c r="P1284" s="3"/>
      <c r="R1284" s="1"/>
      <c r="S1284" s="1"/>
    </row>
    <row r="1285" spans="1:19" x14ac:dyDescent="0.65">
      <c r="A1285" s="34">
        <v>1284</v>
      </c>
      <c r="B1285" s="3" t="s">
        <v>3914</v>
      </c>
      <c r="C1285" s="1" t="s">
        <v>3915</v>
      </c>
      <c r="D1285" s="1">
        <v>83</v>
      </c>
      <c r="E1285" s="2" t="s">
        <v>3916</v>
      </c>
      <c r="F1285" s="3">
        <v>1</v>
      </c>
      <c r="G1285" s="33">
        <v>32874</v>
      </c>
      <c r="H1285" s="30">
        <v>45356</v>
      </c>
      <c r="I1285" s="1"/>
      <c r="J1285" s="1"/>
      <c r="K1285" s="1"/>
      <c r="L1285" s="1"/>
      <c r="M1285" s="1"/>
      <c r="P1285" s="3"/>
      <c r="R1285" s="1"/>
      <c r="S1285" s="1"/>
    </row>
    <row r="1286" spans="1:19" x14ac:dyDescent="0.65">
      <c r="A1286" s="34">
        <v>1285</v>
      </c>
      <c r="B1286" s="3" t="s">
        <v>3917</v>
      </c>
      <c r="C1286" s="1" t="s">
        <v>3918</v>
      </c>
      <c r="D1286" s="1">
        <v>83</v>
      </c>
      <c r="E1286" s="2" t="s">
        <v>3919</v>
      </c>
      <c r="F1286" s="3">
        <v>1</v>
      </c>
      <c r="G1286" s="33">
        <v>32874</v>
      </c>
      <c r="H1286" s="30">
        <v>44795</v>
      </c>
      <c r="I1286" s="1"/>
      <c r="J1286" s="1"/>
      <c r="K1286" s="1"/>
      <c r="L1286" s="1"/>
      <c r="M1286" s="1"/>
      <c r="P1286" s="3"/>
      <c r="R1286" s="1"/>
      <c r="S1286" s="1"/>
    </row>
    <row r="1287" spans="1:19" x14ac:dyDescent="0.65">
      <c r="A1287" s="34">
        <v>1286</v>
      </c>
      <c r="B1287" s="3" t="s">
        <v>3920</v>
      </c>
      <c r="C1287" s="1" t="s">
        <v>3921</v>
      </c>
      <c r="D1287" s="1">
        <v>84</v>
      </c>
      <c r="E1287" s="2" t="s">
        <v>3922</v>
      </c>
      <c r="F1287" s="3">
        <v>1</v>
      </c>
      <c r="G1287" s="33">
        <v>32874</v>
      </c>
      <c r="H1287" s="30">
        <v>44091</v>
      </c>
      <c r="I1287" s="1"/>
      <c r="J1287" s="1"/>
      <c r="K1287" s="1"/>
      <c r="L1287" s="1"/>
      <c r="M1287" s="1"/>
      <c r="P1287" s="3"/>
      <c r="R1287" s="1"/>
      <c r="S1287" s="1"/>
    </row>
    <row r="1288" spans="1:19" x14ac:dyDescent="0.65">
      <c r="A1288" s="34">
        <v>1287</v>
      </c>
      <c r="B1288" s="3" t="s">
        <v>3923</v>
      </c>
      <c r="C1288" s="1" t="s">
        <v>3924</v>
      </c>
      <c r="D1288" s="1">
        <v>84</v>
      </c>
      <c r="E1288" s="2" t="s">
        <v>3925</v>
      </c>
      <c r="F1288" s="3">
        <v>1</v>
      </c>
      <c r="G1288" s="33">
        <v>32874</v>
      </c>
      <c r="H1288" s="30">
        <v>44473</v>
      </c>
      <c r="I1288" s="1"/>
      <c r="J1288" s="1"/>
      <c r="K1288" s="1"/>
      <c r="L1288" s="1"/>
      <c r="M1288" s="1"/>
      <c r="P1288" s="3"/>
      <c r="R1288" s="1"/>
      <c r="S1288" s="1"/>
    </row>
    <row r="1289" spans="1:19" x14ac:dyDescent="0.65">
      <c r="A1289" s="34">
        <v>1288</v>
      </c>
      <c r="B1289" s="3" t="s">
        <v>3926</v>
      </c>
      <c r="C1289" s="1" t="s">
        <v>3927</v>
      </c>
      <c r="D1289" s="1">
        <v>84</v>
      </c>
      <c r="E1289" s="2" t="s">
        <v>3928</v>
      </c>
      <c r="F1289" s="3">
        <v>1</v>
      </c>
      <c r="G1289" s="33">
        <v>32874</v>
      </c>
      <c r="H1289" s="30">
        <v>44475</v>
      </c>
      <c r="I1289" s="1"/>
      <c r="J1289" s="1"/>
      <c r="K1289" s="1"/>
      <c r="L1289" s="1"/>
      <c r="M1289" s="1"/>
      <c r="P1289" s="3"/>
      <c r="R1289" s="1"/>
      <c r="S1289" s="1"/>
    </row>
    <row r="1290" spans="1:19" x14ac:dyDescent="0.65">
      <c r="A1290" s="34">
        <v>1289</v>
      </c>
      <c r="B1290" s="3" t="s">
        <v>3929</v>
      </c>
      <c r="C1290" s="1" t="s">
        <v>3930</v>
      </c>
      <c r="D1290" s="1">
        <v>84</v>
      </c>
      <c r="E1290" s="2" t="s">
        <v>3931</v>
      </c>
      <c r="F1290" s="3">
        <v>1</v>
      </c>
      <c r="G1290" s="33">
        <v>32874</v>
      </c>
      <c r="H1290" s="30">
        <v>44475</v>
      </c>
      <c r="I1290" s="1"/>
      <c r="J1290" s="1"/>
      <c r="K1290" s="1"/>
      <c r="L1290" s="1"/>
      <c r="M1290" s="1"/>
      <c r="P1290" s="3"/>
      <c r="R1290" s="1"/>
      <c r="S1290" s="1"/>
    </row>
    <row r="1291" spans="1:19" x14ac:dyDescent="0.65">
      <c r="A1291" s="34">
        <v>1290</v>
      </c>
      <c r="B1291" s="3" t="s">
        <v>3932</v>
      </c>
      <c r="C1291" s="1" t="s">
        <v>3933</v>
      </c>
      <c r="D1291" s="1">
        <v>84</v>
      </c>
      <c r="E1291" s="2" t="s">
        <v>3934</v>
      </c>
      <c r="F1291" s="3">
        <v>1</v>
      </c>
      <c r="G1291" s="33">
        <v>32874</v>
      </c>
      <c r="H1291" s="30">
        <v>41796</v>
      </c>
      <c r="I1291" s="1"/>
      <c r="J1291" s="1"/>
      <c r="K1291" s="1"/>
      <c r="L1291" s="1"/>
      <c r="M1291" s="1"/>
      <c r="P1291" s="3"/>
      <c r="R1291" s="1"/>
      <c r="S1291" s="1"/>
    </row>
    <row r="1292" spans="1:19" x14ac:dyDescent="0.65">
      <c r="A1292" s="34">
        <v>1291</v>
      </c>
      <c r="B1292" s="3" t="s">
        <v>3935</v>
      </c>
      <c r="C1292" s="1" t="s">
        <v>3936</v>
      </c>
      <c r="D1292" s="1">
        <v>84</v>
      </c>
      <c r="E1292" s="2" t="s">
        <v>3937</v>
      </c>
      <c r="F1292" s="3">
        <v>1</v>
      </c>
      <c r="G1292" s="33">
        <v>32874</v>
      </c>
      <c r="H1292" s="30">
        <v>44475</v>
      </c>
      <c r="I1292" s="1"/>
      <c r="J1292" s="1"/>
      <c r="K1292" s="1"/>
      <c r="L1292" s="1"/>
      <c r="M1292" s="1"/>
      <c r="P1292" s="3"/>
      <c r="R1292" s="1"/>
      <c r="S1292" s="1"/>
    </row>
    <row r="1293" spans="1:19" x14ac:dyDescent="0.65">
      <c r="A1293" s="34">
        <v>1292</v>
      </c>
      <c r="B1293" s="3" t="s">
        <v>3938</v>
      </c>
      <c r="C1293" s="1" t="s">
        <v>3939</v>
      </c>
      <c r="D1293" s="1">
        <v>85</v>
      </c>
      <c r="E1293" s="2" t="s">
        <v>3940</v>
      </c>
      <c r="F1293" s="3">
        <v>1</v>
      </c>
      <c r="G1293" s="33">
        <v>32874</v>
      </c>
      <c r="H1293" s="30">
        <v>44468</v>
      </c>
      <c r="I1293" s="1"/>
      <c r="J1293" s="1"/>
      <c r="K1293" s="1"/>
      <c r="L1293" s="1"/>
      <c r="M1293" s="1"/>
      <c r="P1293" s="3"/>
      <c r="R1293" s="1"/>
      <c r="S1293" s="1"/>
    </row>
    <row r="1294" spans="1:19" x14ac:dyDescent="0.65">
      <c r="A1294" s="34">
        <v>1293</v>
      </c>
      <c r="B1294" s="3" t="s">
        <v>3942</v>
      </c>
      <c r="C1294" s="1" t="s">
        <v>3943</v>
      </c>
      <c r="D1294" s="1">
        <v>85</v>
      </c>
      <c r="E1294" s="2" t="s">
        <v>3944</v>
      </c>
      <c r="F1294" s="3">
        <v>1</v>
      </c>
      <c r="G1294" s="33">
        <v>32874</v>
      </c>
      <c r="H1294" s="30">
        <v>44796</v>
      </c>
      <c r="I1294" s="1"/>
      <c r="J1294" s="1"/>
      <c r="K1294" s="1"/>
      <c r="L1294" s="1"/>
      <c r="M1294" s="1"/>
      <c r="P1294" s="3"/>
      <c r="R1294" s="1"/>
      <c r="S1294" s="1"/>
    </row>
    <row r="1295" spans="1:19" x14ac:dyDescent="0.65">
      <c r="A1295" s="34">
        <v>1294</v>
      </c>
      <c r="B1295" s="3" t="s">
        <v>3945</v>
      </c>
      <c r="C1295" s="1" t="s">
        <v>3946</v>
      </c>
      <c r="D1295" s="1">
        <v>85</v>
      </c>
      <c r="E1295" s="2" t="s">
        <v>3947</v>
      </c>
      <c r="F1295" s="3">
        <v>1</v>
      </c>
      <c r="G1295" s="33">
        <v>32874</v>
      </c>
      <c r="H1295" s="30">
        <v>44916</v>
      </c>
      <c r="I1295" s="1"/>
      <c r="J1295" s="1"/>
      <c r="K1295" s="1"/>
      <c r="L1295" s="1"/>
      <c r="M1295" s="1"/>
      <c r="P1295" s="3"/>
      <c r="R1295" s="1"/>
      <c r="S1295" s="1"/>
    </row>
    <row r="1296" spans="1:19" x14ac:dyDescent="0.65">
      <c r="A1296" s="34">
        <v>1295</v>
      </c>
      <c r="B1296" s="3" t="s">
        <v>3948</v>
      </c>
      <c r="C1296" s="1" t="s">
        <v>3949</v>
      </c>
      <c r="D1296" s="1">
        <v>85</v>
      </c>
      <c r="E1296" s="2" t="s">
        <v>3950</v>
      </c>
      <c r="F1296" s="3">
        <v>1</v>
      </c>
      <c r="G1296" s="33">
        <v>32874</v>
      </c>
      <c r="H1296" s="30">
        <v>44916</v>
      </c>
      <c r="I1296" s="1"/>
      <c r="J1296" s="1"/>
      <c r="K1296" s="1"/>
      <c r="L1296" s="1"/>
      <c r="M1296" s="1"/>
      <c r="P1296" s="3"/>
      <c r="R1296" s="1"/>
      <c r="S1296" s="1"/>
    </row>
    <row r="1297" spans="1:19" x14ac:dyDescent="0.65">
      <c r="A1297" s="34">
        <v>1296</v>
      </c>
      <c r="B1297" s="3" t="s">
        <v>3951</v>
      </c>
      <c r="C1297" s="1" t="s">
        <v>3952</v>
      </c>
      <c r="D1297" s="1">
        <v>86</v>
      </c>
      <c r="E1297" s="2" t="s">
        <v>3953</v>
      </c>
      <c r="F1297" s="3">
        <v>1</v>
      </c>
      <c r="G1297" s="33">
        <v>32874</v>
      </c>
      <c r="H1297" s="30">
        <v>44770</v>
      </c>
      <c r="I1297" s="1"/>
      <c r="J1297" s="1"/>
      <c r="K1297" s="1"/>
      <c r="L1297" s="1"/>
      <c r="M1297" s="1"/>
      <c r="P1297" s="3"/>
      <c r="R1297" s="1"/>
      <c r="S1297" s="1"/>
    </row>
    <row r="1298" spans="1:19" x14ac:dyDescent="0.65">
      <c r="A1298" s="34">
        <v>1297</v>
      </c>
      <c r="B1298" s="3" t="s">
        <v>3955</v>
      </c>
      <c r="C1298" s="1" t="s">
        <v>3956</v>
      </c>
      <c r="D1298" s="1">
        <v>86</v>
      </c>
      <c r="E1298" s="2" t="s">
        <v>3957</v>
      </c>
      <c r="F1298" s="3">
        <v>1</v>
      </c>
      <c r="G1298" s="33">
        <v>32874</v>
      </c>
      <c r="H1298" s="30">
        <v>43264</v>
      </c>
      <c r="I1298" s="1"/>
      <c r="J1298" s="1"/>
      <c r="K1298" s="1"/>
      <c r="L1298" s="1"/>
      <c r="M1298" s="1"/>
      <c r="P1298" s="3"/>
      <c r="R1298" s="1"/>
      <c r="S1298" s="1"/>
    </row>
    <row r="1299" spans="1:19" x14ac:dyDescent="0.65">
      <c r="A1299" s="34">
        <v>1298</v>
      </c>
      <c r="B1299" s="3" t="s">
        <v>3958</v>
      </c>
      <c r="C1299" s="1" t="s">
        <v>3959</v>
      </c>
      <c r="D1299" s="1">
        <v>86</v>
      </c>
      <c r="E1299" s="2" t="s">
        <v>3960</v>
      </c>
      <c r="F1299" s="3">
        <v>1</v>
      </c>
      <c r="G1299" s="33">
        <v>32874</v>
      </c>
      <c r="H1299" s="30">
        <v>45684.456574074073</v>
      </c>
      <c r="I1299" s="1"/>
      <c r="J1299" s="1"/>
      <c r="K1299" s="1"/>
      <c r="L1299" s="1"/>
      <c r="M1299" s="1"/>
      <c r="P1299" s="3"/>
      <c r="R1299" s="1"/>
      <c r="S1299" s="1"/>
    </row>
    <row r="1300" spans="1:19" x14ac:dyDescent="0.65">
      <c r="A1300" s="34">
        <v>1299</v>
      </c>
      <c r="B1300" s="3" t="s">
        <v>3961</v>
      </c>
      <c r="C1300" s="1" t="s">
        <v>3962</v>
      </c>
      <c r="D1300" s="1">
        <v>86</v>
      </c>
      <c r="E1300" s="2" t="s">
        <v>3963</v>
      </c>
      <c r="F1300" s="3">
        <v>1</v>
      </c>
      <c r="G1300" s="33">
        <v>32874</v>
      </c>
      <c r="H1300" s="30">
        <v>45684.456574074073</v>
      </c>
      <c r="I1300" s="1"/>
      <c r="J1300" s="1"/>
      <c r="K1300" s="1"/>
      <c r="L1300" s="1"/>
      <c r="M1300" s="1"/>
      <c r="P1300" s="3"/>
      <c r="R1300" s="1"/>
      <c r="S1300" s="1"/>
    </row>
    <row r="1301" spans="1:19" x14ac:dyDescent="0.65">
      <c r="A1301" s="34">
        <v>1300</v>
      </c>
      <c r="B1301" s="3" t="s">
        <v>3964</v>
      </c>
      <c r="C1301" s="1" t="s">
        <v>3965</v>
      </c>
      <c r="D1301" s="1">
        <v>87</v>
      </c>
      <c r="E1301" s="2" t="s">
        <v>3966</v>
      </c>
      <c r="F1301" s="3">
        <v>1</v>
      </c>
      <c r="G1301" s="33">
        <v>32874</v>
      </c>
      <c r="H1301" s="30">
        <v>45721.446550925924</v>
      </c>
      <c r="I1301" s="1"/>
      <c r="J1301" s="1"/>
      <c r="K1301" s="1"/>
      <c r="L1301" s="1"/>
      <c r="M1301" s="1"/>
      <c r="O1301" s="5"/>
      <c r="P1301" s="3"/>
      <c r="R1301" s="1"/>
      <c r="S1301" s="1"/>
    </row>
    <row r="1302" spans="1:19" x14ac:dyDescent="0.65">
      <c r="A1302" s="34">
        <v>1301</v>
      </c>
      <c r="B1302" s="3" t="s">
        <v>3967</v>
      </c>
      <c r="C1302" s="1" t="s">
        <v>3968</v>
      </c>
      <c r="D1302" s="1">
        <v>87</v>
      </c>
      <c r="E1302" s="2" t="s">
        <v>3969</v>
      </c>
      <c r="F1302" s="3">
        <v>1</v>
      </c>
      <c r="G1302" s="33">
        <v>32874</v>
      </c>
      <c r="H1302" s="30">
        <v>45721.447048611109</v>
      </c>
      <c r="I1302" s="1"/>
      <c r="J1302" s="1"/>
      <c r="K1302" s="1"/>
      <c r="L1302" s="1"/>
      <c r="M1302" s="1"/>
      <c r="O1302" s="5"/>
      <c r="P1302" s="3"/>
      <c r="R1302" s="1"/>
      <c r="S1302" s="1"/>
    </row>
    <row r="1303" spans="1:19" x14ac:dyDescent="0.65">
      <c r="A1303" s="34">
        <v>1302</v>
      </c>
      <c r="B1303" s="3" t="s">
        <v>3970</v>
      </c>
      <c r="C1303" s="1" t="s">
        <v>3971</v>
      </c>
      <c r="D1303" s="1">
        <v>87</v>
      </c>
      <c r="E1303" s="2" t="s">
        <v>3972</v>
      </c>
      <c r="F1303" s="3">
        <v>1</v>
      </c>
      <c r="G1303" s="33">
        <v>32874</v>
      </c>
      <c r="H1303" s="30">
        <v>44521</v>
      </c>
      <c r="I1303" s="1"/>
      <c r="J1303" s="1"/>
      <c r="K1303" s="1"/>
      <c r="L1303" s="1"/>
      <c r="M1303" s="1"/>
      <c r="O1303" s="5"/>
      <c r="P1303" s="3"/>
      <c r="R1303" s="1"/>
      <c r="S1303" s="1"/>
    </row>
    <row r="1304" spans="1:19" x14ac:dyDescent="0.65">
      <c r="A1304" s="34">
        <v>1303</v>
      </c>
      <c r="B1304" s="3" t="s">
        <v>3973</v>
      </c>
      <c r="C1304" s="1" t="s">
        <v>3974</v>
      </c>
      <c r="D1304" s="1">
        <v>88</v>
      </c>
      <c r="E1304" s="2" t="s">
        <v>3975</v>
      </c>
      <c r="F1304" s="3">
        <v>1</v>
      </c>
      <c r="G1304" s="33">
        <v>32874</v>
      </c>
      <c r="H1304" s="30">
        <v>45320</v>
      </c>
      <c r="I1304" s="1"/>
      <c r="J1304" s="1"/>
      <c r="K1304" s="1"/>
      <c r="L1304" s="1"/>
      <c r="M1304" s="1"/>
      <c r="P1304" s="3"/>
      <c r="R1304" s="1"/>
      <c r="S1304" s="1"/>
    </row>
    <row r="1305" spans="1:19" x14ac:dyDescent="0.65">
      <c r="A1305" s="34">
        <v>1304</v>
      </c>
      <c r="B1305" s="3" t="s">
        <v>3976</v>
      </c>
      <c r="C1305" s="1" t="s">
        <v>3977</v>
      </c>
      <c r="D1305" s="1">
        <v>88</v>
      </c>
      <c r="E1305" s="2" t="s">
        <v>3978</v>
      </c>
      <c r="F1305" s="3">
        <v>1</v>
      </c>
      <c r="G1305" s="33">
        <v>32874</v>
      </c>
      <c r="H1305" s="30">
        <v>43313</v>
      </c>
      <c r="I1305" s="1"/>
      <c r="J1305" s="1"/>
      <c r="K1305" s="1"/>
      <c r="L1305" s="1"/>
      <c r="M1305" s="1"/>
      <c r="P1305" s="3"/>
      <c r="R1305" s="1"/>
      <c r="S1305" s="1"/>
    </row>
    <row r="1306" spans="1:19" x14ac:dyDescent="0.65">
      <c r="A1306" s="34">
        <v>1305</v>
      </c>
      <c r="B1306" s="3" t="s">
        <v>3979</v>
      </c>
      <c r="C1306" s="1" t="s">
        <v>3980</v>
      </c>
      <c r="D1306" s="1">
        <v>89</v>
      </c>
      <c r="E1306" s="2" t="s">
        <v>3981</v>
      </c>
      <c r="F1306" s="3">
        <v>1</v>
      </c>
      <c r="G1306" s="33">
        <v>32874</v>
      </c>
      <c r="H1306" s="30">
        <v>45769.892141203702</v>
      </c>
      <c r="I1306" s="1"/>
      <c r="J1306" s="1"/>
      <c r="K1306" s="1"/>
      <c r="L1306" s="1"/>
      <c r="M1306" s="1"/>
      <c r="P1306" s="3"/>
      <c r="R1306" s="1"/>
      <c r="S1306" s="1"/>
    </row>
    <row r="1307" spans="1:19" x14ac:dyDescent="0.65">
      <c r="A1307" s="34">
        <v>1306</v>
      </c>
      <c r="B1307" s="3" t="s">
        <v>3983</v>
      </c>
      <c r="C1307" s="1" t="s">
        <v>3984</v>
      </c>
      <c r="D1307" s="1">
        <v>89</v>
      </c>
      <c r="E1307" s="2" t="s">
        <v>3985</v>
      </c>
      <c r="F1307" s="3">
        <v>1</v>
      </c>
      <c r="G1307" s="33">
        <v>32874</v>
      </c>
      <c r="H1307" s="30">
        <v>45768.335543981484</v>
      </c>
      <c r="I1307" s="1"/>
      <c r="J1307" s="1"/>
      <c r="K1307" s="1"/>
      <c r="L1307" s="1"/>
      <c r="M1307" s="1"/>
      <c r="P1307" s="3"/>
      <c r="R1307" s="1"/>
      <c r="S1307" s="1"/>
    </row>
    <row r="1308" spans="1:19" x14ac:dyDescent="0.65">
      <c r="A1308" s="34">
        <v>1307</v>
      </c>
      <c r="B1308" s="3" t="s">
        <v>3986</v>
      </c>
      <c r="C1308" s="1" t="s">
        <v>3987</v>
      </c>
      <c r="D1308" s="1">
        <v>89</v>
      </c>
      <c r="E1308" s="2" t="s">
        <v>3988</v>
      </c>
      <c r="F1308" s="3">
        <v>1</v>
      </c>
      <c r="G1308" s="33">
        <v>32874</v>
      </c>
      <c r="H1308" s="30">
        <v>45513</v>
      </c>
      <c r="I1308" s="1"/>
      <c r="J1308" s="1"/>
      <c r="K1308" s="1"/>
      <c r="L1308" s="1"/>
      <c r="M1308" s="1"/>
      <c r="P1308" s="3"/>
      <c r="R1308" s="1"/>
      <c r="S1308" s="1"/>
    </row>
    <row r="1309" spans="1:19" x14ac:dyDescent="0.65">
      <c r="A1309" s="34">
        <v>1308</v>
      </c>
      <c r="B1309" s="3" t="s">
        <v>3989</v>
      </c>
      <c r="C1309" s="1" t="s">
        <v>3990</v>
      </c>
      <c r="D1309" s="1">
        <v>90</v>
      </c>
      <c r="E1309" s="9" t="s">
        <v>3991</v>
      </c>
      <c r="F1309" s="3">
        <v>1</v>
      </c>
      <c r="G1309" s="33">
        <v>32874</v>
      </c>
      <c r="H1309" s="31">
        <v>41912</v>
      </c>
      <c r="I1309" s="1"/>
      <c r="J1309" s="1"/>
      <c r="K1309" s="1"/>
      <c r="L1309" s="1"/>
      <c r="M1309" s="1"/>
      <c r="P1309" s="3"/>
      <c r="R1309" s="1"/>
      <c r="S1309" s="1"/>
    </row>
    <row r="1310" spans="1:19" x14ac:dyDescent="0.65">
      <c r="A1310" s="34">
        <v>1309</v>
      </c>
      <c r="B1310" s="3" t="s">
        <v>3994</v>
      </c>
      <c r="C1310" s="1" t="s">
        <v>3995</v>
      </c>
      <c r="D1310" s="1">
        <v>90</v>
      </c>
      <c r="E1310" s="2" t="s">
        <v>3996</v>
      </c>
      <c r="F1310" s="3">
        <v>1</v>
      </c>
      <c r="G1310" s="33">
        <v>32874</v>
      </c>
      <c r="H1310" s="31">
        <v>41365</v>
      </c>
      <c r="I1310" s="1"/>
      <c r="J1310" s="1"/>
      <c r="K1310" s="1"/>
      <c r="L1310" s="1"/>
      <c r="M1310" s="1"/>
      <c r="P1310" s="3"/>
      <c r="R1310" s="1"/>
      <c r="S1310" s="1"/>
    </row>
    <row r="1311" spans="1:19" x14ac:dyDescent="0.65">
      <c r="A1311" s="34">
        <v>1310</v>
      </c>
      <c r="B1311" s="3" t="s">
        <v>3997</v>
      </c>
      <c r="C1311" s="1" t="s">
        <v>3998</v>
      </c>
      <c r="D1311" s="1">
        <v>90</v>
      </c>
      <c r="E1311" s="2" t="s">
        <v>3999</v>
      </c>
      <c r="F1311" s="3">
        <v>1</v>
      </c>
      <c r="G1311" s="33">
        <v>32874</v>
      </c>
      <c r="H1311" s="31">
        <v>45938.731481481482</v>
      </c>
      <c r="I1311" s="1"/>
      <c r="J1311" s="1"/>
      <c r="K1311" s="1"/>
      <c r="L1311" s="1"/>
      <c r="M1311" s="1"/>
      <c r="P1311" s="3"/>
      <c r="R1311" s="1"/>
      <c r="S1311" s="1"/>
    </row>
    <row r="1312" spans="1:19" x14ac:dyDescent="0.65">
      <c r="A1312" s="34">
        <v>1311</v>
      </c>
      <c r="B1312" s="3" t="s">
        <v>4000</v>
      </c>
      <c r="C1312" s="1" t="s">
        <v>4001</v>
      </c>
      <c r="D1312" s="1">
        <v>90</v>
      </c>
      <c r="E1312" s="2" t="s">
        <v>4002</v>
      </c>
      <c r="F1312" s="3">
        <v>1</v>
      </c>
      <c r="G1312" s="33">
        <v>32874</v>
      </c>
      <c r="H1312" s="31">
        <v>45930.507719907408</v>
      </c>
      <c r="I1312" s="1"/>
      <c r="J1312" s="1"/>
      <c r="K1312" s="1"/>
      <c r="L1312" s="1"/>
      <c r="M1312" s="1"/>
      <c r="P1312" s="3"/>
      <c r="R1312" s="1"/>
      <c r="S1312" s="1"/>
    </row>
    <row r="1313" spans="1:19" x14ac:dyDescent="0.65">
      <c r="A1313" s="34">
        <v>1312</v>
      </c>
      <c r="B1313" s="3" t="s">
        <v>4003</v>
      </c>
      <c r="C1313" s="1" t="s">
        <v>4004</v>
      </c>
      <c r="D1313" s="1">
        <v>90</v>
      </c>
      <c r="E1313" s="2" t="s">
        <v>4005</v>
      </c>
      <c r="F1313" s="3">
        <v>1</v>
      </c>
      <c r="G1313" s="33">
        <v>32874</v>
      </c>
      <c r="H1313" s="31">
        <v>45728.50309027778</v>
      </c>
      <c r="I1313" s="1"/>
      <c r="J1313" s="1"/>
      <c r="K1313" s="1"/>
      <c r="L1313" s="1"/>
      <c r="M1313" s="1"/>
      <c r="P1313" s="3"/>
      <c r="R1313" s="1"/>
      <c r="S1313" s="1"/>
    </row>
    <row r="1314" spans="1:19" x14ac:dyDescent="0.65">
      <c r="A1314" s="34">
        <v>1313</v>
      </c>
      <c r="B1314" s="3" t="s">
        <v>4006</v>
      </c>
      <c r="C1314" s="1" t="s">
        <v>4007</v>
      </c>
      <c r="D1314" s="1">
        <v>90</v>
      </c>
      <c r="E1314" s="2" t="s">
        <v>4008</v>
      </c>
      <c r="F1314" s="3">
        <v>1</v>
      </c>
      <c r="G1314" s="33">
        <v>32874</v>
      </c>
      <c r="H1314" s="31">
        <v>45569</v>
      </c>
      <c r="I1314" s="1"/>
      <c r="J1314" s="1"/>
      <c r="K1314" s="1"/>
      <c r="L1314" s="1"/>
      <c r="M1314" s="1"/>
      <c r="P1314" s="3"/>
      <c r="R1314" s="1"/>
      <c r="S1314" s="1"/>
    </row>
    <row r="1315" spans="1:19" x14ac:dyDescent="0.65">
      <c r="A1315" s="34">
        <v>1314</v>
      </c>
      <c r="B1315" s="3" t="s">
        <v>4009</v>
      </c>
      <c r="C1315" s="1" t="s">
        <v>4010</v>
      </c>
      <c r="D1315" s="1">
        <v>90</v>
      </c>
      <c r="E1315" s="2" t="s">
        <v>4011</v>
      </c>
      <c r="F1315" s="3">
        <v>1</v>
      </c>
      <c r="G1315" s="33">
        <v>32874</v>
      </c>
      <c r="H1315" s="31">
        <v>45456</v>
      </c>
      <c r="I1315" s="1"/>
      <c r="J1315" s="1"/>
      <c r="K1315" s="1"/>
      <c r="L1315" s="1"/>
      <c r="M1315" s="1"/>
      <c r="P1315" s="3"/>
      <c r="R1315" s="1"/>
      <c r="S1315" s="1"/>
    </row>
    <row r="1316" spans="1:19" x14ac:dyDescent="0.65">
      <c r="A1316" s="34">
        <v>1315</v>
      </c>
      <c r="B1316" s="3" t="s">
        <v>4012</v>
      </c>
      <c r="C1316" s="1" t="s">
        <v>4013</v>
      </c>
      <c r="D1316" s="1">
        <v>90</v>
      </c>
      <c r="E1316" s="2" t="s">
        <v>4014</v>
      </c>
      <c r="F1316" s="3">
        <v>1</v>
      </c>
      <c r="G1316" s="33">
        <v>32874</v>
      </c>
      <c r="H1316" s="31">
        <v>45170</v>
      </c>
      <c r="I1316" s="1"/>
      <c r="J1316" s="1"/>
      <c r="K1316" s="1"/>
      <c r="L1316" s="1"/>
      <c r="M1316" s="1"/>
      <c r="P1316" s="3"/>
      <c r="R1316" s="1"/>
      <c r="S1316" s="1"/>
    </row>
    <row r="1317" spans="1:19" x14ac:dyDescent="0.65">
      <c r="A1317" s="34">
        <v>1316</v>
      </c>
      <c r="B1317" s="3" t="s">
        <v>4015</v>
      </c>
      <c r="C1317" s="1" t="s">
        <v>4016</v>
      </c>
      <c r="D1317" s="1">
        <v>90</v>
      </c>
      <c r="E1317" s="2" t="s">
        <v>4017</v>
      </c>
      <c r="F1317" s="3">
        <v>1</v>
      </c>
      <c r="G1317" s="33">
        <v>32874</v>
      </c>
      <c r="H1317" s="31">
        <v>45135</v>
      </c>
      <c r="I1317" s="1"/>
      <c r="J1317" s="1"/>
      <c r="K1317" s="1"/>
      <c r="L1317" s="1"/>
      <c r="M1317" s="1"/>
      <c r="P1317" s="3"/>
      <c r="R1317" s="1"/>
      <c r="S1317" s="1"/>
    </row>
    <row r="1318" spans="1:19" x14ac:dyDescent="0.65">
      <c r="A1318" s="34">
        <v>1317</v>
      </c>
      <c r="B1318" s="3" t="s">
        <v>4018</v>
      </c>
      <c r="C1318" s="1" t="s">
        <v>4019</v>
      </c>
      <c r="D1318" s="1">
        <v>90</v>
      </c>
      <c r="E1318" s="2" t="s">
        <v>4020</v>
      </c>
      <c r="F1318" s="3">
        <v>1</v>
      </c>
      <c r="G1318" s="33">
        <v>32874</v>
      </c>
      <c r="H1318" s="31">
        <v>45017</v>
      </c>
      <c r="I1318" s="1"/>
      <c r="J1318" s="1"/>
      <c r="K1318" s="1"/>
      <c r="L1318" s="1"/>
      <c r="M1318" s="1"/>
      <c r="P1318" s="3"/>
      <c r="R1318" s="1"/>
      <c r="S1318" s="1"/>
    </row>
    <row r="1319" spans="1:19" x14ac:dyDescent="0.65">
      <c r="A1319" s="34">
        <v>1318</v>
      </c>
      <c r="B1319" s="3" t="s">
        <v>4021</v>
      </c>
      <c r="C1319" s="1" t="s">
        <v>4022</v>
      </c>
      <c r="D1319" s="1">
        <v>90</v>
      </c>
      <c r="E1319" s="2" t="s">
        <v>4023</v>
      </c>
      <c r="F1319" s="3">
        <v>1</v>
      </c>
      <c r="G1319" s="33">
        <v>32874</v>
      </c>
      <c r="H1319" s="31">
        <v>44958</v>
      </c>
      <c r="I1319" s="1"/>
      <c r="J1319" s="1"/>
      <c r="K1319" s="1"/>
      <c r="L1319" s="1"/>
      <c r="M1319" s="1"/>
      <c r="P1319" s="3"/>
      <c r="R1319" s="1"/>
      <c r="S1319" s="1"/>
    </row>
    <row r="1320" spans="1:19" x14ac:dyDescent="0.65">
      <c r="A1320" s="34">
        <v>1319</v>
      </c>
      <c r="B1320" s="3" t="s">
        <v>4024</v>
      </c>
      <c r="C1320" s="1" t="s">
        <v>4025</v>
      </c>
      <c r="D1320" s="1">
        <v>90</v>
      </c>
      <c r="E1320" s="2" t="s">
        <v>4026</v>
      </c>
      <c r="F1320" s="3">
        <v>1</v>
      </c>
      <c r="G1320" s="33">
        <v>32874</v>
      </c>
      <c r="H1320" s="31">
        <v>43282</v>
      </c>
      <c r="I1320" s="1"/>
      <c r="J1320" s="1"/>
      <c r="K1320" s="1"/>
      <c r="L1320" s="1"/>
      <c r="M1320" s="1"/>
      <c r="P1320" s="3"/>
      <c r="R1320" s="1"/>
      <c r="S1320" s="1"/>
    </row>
    <row r="1321" spans="1:19" x14ac:dyDescent="0.65">
      <c r="A1321" s="34">
        <v>1320</v>
      </c>
      <c r="B1321" s="3" t="s">
        <v>4027</v>
      </c>
      <c r="C1321" s="1" t="s">
        <v>4028</v>
      </c>
      <c r="D1321" s="1">
        <v>90</v>
      </c>
      <c r="E1321" s="2" t="s">
        <v>4029</v>
      </c>
      <c r="F1321" s="3">
        <v>1</v>
      </c>
      <c r="G1321" s="33">
        <v>32874</v>
      </c>
      <c r="H1321" s="31">
        <v>42971</v>
      </c>
      <c r="I1321" s="1"/>
      <c r="J1321" s="1"/>
      <c r="K1321" s="1"/>
      <c r="L1321" s="1"/>
      <c r="M1321" s="1"/>
      <c r="P1321" s="3"/>
      <c r="R1321" s="1"/>
      <c r="S1321" s="1"/>
    </row>
    <row r="1322" spans="1:19" x14ac:dyDescent="0.65">
      <c r="A1322" s="34">
        <v>1321</v>
      </c>
      <c r="B1322" s="3" t="s">
        <v>4030</v>
      </c>
      <c r="C1322" s="1" t="s">
        <v>4031</v>
      </c>
      <c r="D1322" s="1">
        <v>90</v>
      </c>
      <c r="E1322" s="2" t="s">
        <v>4032</v>
      </c>
      <c r="F1322" s="3">
        <v>1</v>
      </c>
      <c r="G1322" s="33">
        <v>32874</v>
      </c>
      <c r="H1322" s="31">
        <v>42968</v>
      </c>
      <c r="I1322" s="1"/>
      <c r="J1322" s="1"/>
      <c r="K1322" s="1"/>
      <c r="L1322" s="1"/>
      <c r="M1322" s="1"/>
      <c r="P1322" s="3"/>
      <c r="R1322" s="1"/>
      <c r="S1322" s="1"/>
    </row>
    <row r="1323" spans="1:19" x14ac:dyDescent="0.65">
      <c r="A1323" s="34">
        <v>1322</v>
      </c>
      <c r="B1323" s="3" t="s">
        <v>4033</v>
      </c>
      <c r="C1323" s="1" t="s">
        <v>4034</v>
      </c>
      <c r="D1323" s="1">
        <v>90</v>
      </c>
      <c r="E1323" s="2" t="s">
        <v>4035</v>
      </c>
      <c r="F1323" s="3">
        <v>1</v>
      </c>
      <c r="G1323" s="33">
        <v>32874</v>
      </c>
      <c r="H1323" s="31">
        <v>42968</v>
      </c>
      <c r="I1323" s="1"/>
      <c r="J1323" s="1"/>
      <c r="K1323" s="1"/>
      <c r="L1323" s="1"/>
      <c r="M1323" s="1"/>
      <c r="P1323" s="3"/>
      <c r="R1323" s="1"/>
      <c r="S1323" s="1"/>
    </row>
    <row r="1324" spans="1:19" x14ac:dyDescent="0.65">
      <c r="A1324" s="34">
        <v>1323</v>
      </c>
      <c r="B1324" s="3" t="s">
        <v>4036</v>
      </c>
      <c r="C1324" s="1" t="s">
        <v>4037</v>
      </c>
      <c r="D1324" s="1">
        <v>91</v>
      </c>
      <c r="E1324" s="2" t="s">
        <v>4038</v>
      </c>
      <c r="F1324" s="3">
        <v>1</v>
      </c>
      <c r="G1324" s="33">
        <v>32874</v>
      </c>
      <c r="H1324" s="31">
        <v>43900</v>
      </c>
      <c r="I1324" s="1"/>
      <c r="J1324" s="1"/>
      <c r="K1324" s="1"/>
      <c r="L1324" s="1"/>
      <c r="M1324" s="1"/>
      <c r="P1324" s="3"/>
      <c r="R1324" s="1"/>
      <c r="S1324" s="1"/>
    </row>
    <row r="1325" spans="1:19" x14ac:dyDescent="0.65">
      <c r="A1325" s="34">
        <v>1324</v>
      </c>
      <c r="B1325" s="3" t="s">
        <v>4039</v>
      </c>
      <c r="C1325" s="1" t="s">
        <v>4040</v>
      </c>
      <c r="D1325" s="1">
        <v>92</v>
      </c>
      <c r="E1325" s="2" t="s">
        <v>4041</v>
      </c>
      <c r="F1325" s="3">
        <v>1</v>
      </c>
      <c r="G1325" s="33">
        <v>32874</v>
      </c>
      <c r="H1325" s="31">
        <v>43900</v>
      </c>
      <c r="I1325" s="1"/>
      <c r="J1325" s="1"/>
      <c r="K1325" s="1"/>
      <c r="L1325" s="1"/>
      <c r="M1325" s="1"/>
      <c r="P1325" s="3"/>
      <c r="R1325" s="1"/>
      <c r="S1325" s="1"/>
    </row>
    <row r="1326" spans="1:19" x14ac:dyDescent="0.65">
      <c r="A1326" s="34">
        <v>1325</v>
      </c>
      <c r="B1326" s="3" t="s">
        <v>4043</v>
      </c>
      <c r="C1326" s="1" t="s">
        <v>4044</v>
      </c>
      <c r="D1326" s="1">
        <v>92</v>
      </c>
      <c r="E1326" s="2" t="s">
        <v>4045</v>
      </c>
      <c r="F1326" s="3">
        <v>1</v>
      </c>
      <c r="G1326" s="33">
        <v>32874</v>
      </c>
      <c r="H1326" s="31">
        <v>41365</v>
      </c>
      <c r="I1326" s="1"/>
      <c r="J1326" s="1"/>
      <c r="K1326" s="1"/>
      <c r="L1326" s="1"/>
      <c r="M1326" s="1"/>
      <c r="P1326" s="3"/>
      <c r="R1326" s="1"/>
      <c r="S1326" s="1"/>
    </row>
    <row r="1327" spans="1:19" x14ac:dyDescent="0.65">
      <c r="A1327" s="34">
        <v>1326</v>
      </c>
      <c r="B1327" s="3" t="s">
        <v>4046</v>
      </c>
      <c r="C1327" s="1" t="s">
        <v>4047</v>
      </c>
      <c r="D1327" s="1">
        <v>93</v>
      </c>
      <c r="E1327" s="2" t="s">
        <v>4048</v>
      </c>
      <c r="F1327" s="3">
        <v>1</v>
      </c>
      <c r="G1327" s="33">
        <v>32874</v>
      </c>
      <c r="H1327" s="31">
        <v>45740.435347222221</v>
      </c>
      <c r="I1327" s="1"/>
      <c r="J1327" s="1"/>
      <c r="K1327" s="1"/>
      <c r="L1327" s="1"/>
      <c r="M1327" s="1"/>
      <c r="P1327" s="3"/>
      <c r="R1327" s="1"/>
      <c r="S1327" s="1"/>
    </row>
    <row r="1328" spans="1:19" x14ac:dyDescent="0.65">
      <c r="A1328" s="34">
        <v>1327</v>
      </c>
      <c r="B1328" s="3" t="s">
        <v>4049</v>
      </c>
      <c r="C1328" s="1" t="s">
        <v>4050</v>
      </c>
      <c r="D1328" s="1">
        <v>93</v>
      </c>
      <c r="E1328" s="2" t="s">
        <v>4051</v>
      </c>
      <c r="F1328" s="3">
        <v>1</v>
      </c>
      <c r="G1328" s="33">
        <v>32874</v>
      </c>
      <c r="H1328" s="31">
        <v>45435</v>
      </c>
      <c r="I1328" s="1"/>
      <c r="J1328" s="1"/>
      <c r="K1328" s="1"/>
      <c r="L1328" s="1"/>
      <c r="M1328" s="1"/>
      <c r="P1328" s="3"/>
      <c r="R1328" s="1"/>
      <c r="S1328" s="1"/>
    </row>
    <row r="1329" spans="1:19" x14ac:dyDescent="0.65">
      <c r="A1329" s="34">
        <v>1328</v>
      </c>
      <c r="B1329" s="3" t="s">
        <v>4052</v>
      </c>
      <c r="C1329" s="1" t="s">
        <v>4053</v>
      </c>
      <c r="D1329" s="1">
        <v>91</v>
      </c>
      <c r="E1329" s="2" t="s">
        <v>4054</v>
      </c>
      <c r="F1329" s="3">
        <v>1</v>
      </c>
      <c r="G1329" s="33">
        <v>32874</v>
      </c>
      <c r="H1329" s="31">
        <v>44501</v>
      </c>
      <c r="I1329" s="1"/>
      <c r="J1329" s="1"/>
      <c r="K1329" s="1"/>
      <c r="L1329" s="1"/>
      <c r="M1329" s="1"/>
      <c r="P1329" s="3"/>
      <c r="R1329" s="1"/>
      <c r="S1329" s="1"/>
    </row>
    <row r="1330" spans="1:19" x14ac:dyDescent="0.65">
      <c r="A1330" s="34">
        <v>1329</v>
      </c>
      <c r="B1330" s="3" t="s">
        <v>4055</v>
      </c>
      <c r="C1330" s="1" t="s">
        <v>4056</v>
      </c>
      <c r="D1330" s="1">
        <v>93</v>
      </c>
      <c r="E1330" s="2" t="s">
        <v>4057</v>
      </c>
      <c r="F1330" s="3">
        <v>1</v>
      </c>
      <c r="G1330" s="33">
        <v>32874</v>
      </c>
      <c r="H1330" s="31">
        <v>41792</v>
      </c>
      <c r="I1330" s="1"/>
      <c r="J1330" s="1"/>
      <c r="K1330" s="1"/>
      <c r="L1330" s="1"/>
      <c r="M1330" s="1"/>
      <c r="P1330" s="3"/>
      <c r="R1330" s="1"/>
      <c r="S1330" s="1"/>
    </row>
    <row r="1331" spans="1:19" x14ac:dyDescent="0.65">
      <c r="A1331" s="34">
        <v>1330</v>
      </c>
      <c r="B1331" s="3" t="s">
        <v>4058</v>
      </c>
      <c r="C1331" s="1" t="s">
        <v>4059</v>
      </c>
      <c r="D1331" s="1">
        <v>93</v>
      </c>
      <c r="E1331" s="2" t="s">
        <v>4060</v>
      </c>
      <c r="F1331" s="3">
        <v>1</v>
      </c>
      <c r="G1331" s="33">
        <v>32874</v>
      </c>
      <c r="H1331" s="31">
        <v>41365</v>
      </c>
      <c r="I1331" s="1"/>
      <c r="J1331" s="1"/>
      <c r="K1331" s="1"/>
      <c r="L1331" s="1"/>
      <c r="M1331" s="1"/>
      <c r="P1331" s="3"/>
      <c r="R1331" s="1"/>
      <c r="S1331" s="1"/>
    </row>
    <row r="1332" spans="1:19" x14ac:dyDescent="0.65">
      <c r="A1332" s="34">
        <v>1331</v>
      </c>
      <c r="B1332" s="3" t="s">
        <v>4061</v>
      </c>
      <c r="C1332" s="1" t="s">
        <v>4062</v>
      </c>
      <c r="D1332" s="1">
        <v>93</v>
      </c>
      <c r="E1332" s="2" t="s">
        <v>4063</v>
      </c>
      <c r="F1332" s="3">
        <v>1</v>
      </c>
      <c r="G1332" s="33">
        <v>32874</v>
      </c>
      <c r="H1332" s="31">
        <v>41365</v>
      </c>
      <c r="I1332" s="1"/>
      <c r="J1332" s="1"/>
      <c r="K1332" s="1"/>
      <c r="L1332" s="1"/>
      <c r="M1332" s="1"/>
      <c r="P1332" s="3"/>
      <c r="R1332" s="1"/>
      <c r="S1332" s="1"/>
    </row>
    <row r="1333" spans="1:19" x14ac:dyDescent="0.65">
      <c r="A1333" s="34">
        <v>1332</v>
      </c>
      <c r="B1333" s="3" t="s">
        <v>4064</v>
      </c>
      <c r="C1333" s="1" t="s">
        <v>4065</v>
      </c>
      <c r="D1333" s="1">
        <v>90</v>
      </c>
      <c r="E1333" s="2" t="s">
        <v>4066</v>
      </c>
      <c r="F1333" s="3">
        <v>1</v>
      </c>
      <c r="G1333" s="33">
        <v>32874</v>
      </c>
      <c r="H1333" s="31">
        <v>42886</v>
      </c>
      <c r="I1333" s="1"/>
      <c r="J1333" s="1"/>
      <c r="K1333" s="1"/>
      <c r="L1333" s="1"/>
      <c r="M1333" s="1"/>
      <c r="P1333" s="3"/>
      <c r="R1333" s="1"/>
      <c r="S1333" s="1"/>
    </row>
    <row r="1334" spans="1:19" x14ac:dyDescent="0.65">
      <c r="A1334" s="34">
        <v>1333</v>
      </c>
      <c r="B1334" s="3" t="s">
        <v>4067</v>
      </c>
      <c r="C1334" s="1" t="s">
        <v>4068</v>
      </c>
      <c r="D1334" s="1">
        <v>90</v>
      </c>
      <c r="E1334" s="2" t="s">
        <v>4069</v>
      </c>
      <c r="F1334" s="3">
        <v>1</v>
      </c>
      <c r="G1334" s="33">
        <v>32874</v>
      </c>
      <c r="H1334" s="31">
        <v>45016</v>
      </c>
      <c r="I1334" s="1"/>
      <c r="J1334" s="1"/>
      <c r="K1334" s="1"/>
      <c r="L1334" s="1"/>
      <c r="M1334" s="1"/>
      <c r="P1334" s="3"/>
      <c r="R1334" s="1"/>
      <c r="S1334" s="1"/>
    </row>
    <row r="1335" spans="1:19" x14ac:dyDescent="0.65">
      <c r="A1335" s="34">
        <v>1334</v>
      </c>
      <c r="B1335" s="3" t="s">
        <v>4070</v>
      </c>
      <c r="C1335" s="1" t="s">
        <v>4071</v>
      </c>
      <c r="D1335" s="1">
        <v>90</v>
      </c>
      <c r="E1335" s="2" t="s">
        <v>4072</v>
      </c>
      <c r="F1335" s="3">
        <v>1</v>
      </c>
      <c r="G1335" s="33">
        <v>32874</v>
      </c>
      <c r="H1335" s="31">
        <v>43179</v>
      </c>
      <c r="I1335" s="1"/>
      <c r="J1335" s="1"/>
      <c r="K1335" s="1"/>
      <c r="L1335" s="1"/>
      <c r="M1335" s="1"/>
      <c r="P1335" s="3"/>
      <c r="R1335" s="1"/>
      <c r="S1335" s="1"/>
    </row>
    <row r="1336" spans="1:19" x14ac:dyDescent="0.65">
      <c r="A1336" s="34">
        <v>1335</v>
      </c>
      <c r="B1336" s="3" t="s">
        <v>4073</v>
      </c>
      <c r="C1336" s="1" t="s">
        <v>4074</v>
      </c>
      <c r="D1336" s="1">
        <v>90</v>
      </c>
      <c r="E1336" s="2" t="s">
        <v>4075</v>
      </c>
      <c r="F1336" s="3">
        <v>1</v>
      </c>
      <c r="G1336" s="33">
        <v>32874</v>
      </c>
      <c r="H1336" s="31">
        <v>43179</v>
      </c>
      <c r="I1336" s="1"/>
      <c r="J1336" s="1"/>
      <c r="K1336" s="1"/>
      <c r="L1336" s="1"/>
      <c r="M1336" s="1"/>
      <c r="P1336" s="3"/>
      <c r="R1336" s="1"/>
      <c r="S1336" s="1"/>
    </row>
    <row r="1337" spans="1:19" x14ac:dyDescent="0.65">
      <c r="A1337" s="34">
        <v>1336</v>
      </c>
      <c r="B1337" s="3" t="s">
        <v>4076</v>
      </c>
      <c r="C1337" s="1" t="s">
        <v>4077</v>
      </c>
      <c r="D1337" s="1">
        <v>90</v>
      </c>
      <c r="E1337" s="2" t="s">
        <v>4078</v>
      </c>
      <c r="F1337" s="3">
        <v>1</v>
      </c>
      <c r="G1337" s="33">
        <v>32874</v>
      </c>
      <c r="H1337" s="31">
        <v>45679.725289351853</v>
      </c>
      <c r="I1337" s="1"/>
      <c r="J1337" s="1"/>
      <c r="K1337" s="1"/>
      <c r="L1337" s="1"/>
      <c r="M1337" s="1"/>
      <c r="P1337" s="3"/>
      <c r="R1337" s="1"/>
      <c r="S1337" s="1"/>
    </row>
    <row r="1338" spans="1:19" x14ac:dyDescent="0.65">
      <c r="A1338" s="34">
        <v>1337</v>
      </c>
      <c r="B1338" s="3" t="s">
        <v>4079</v>
      </c>
      <c r="C1338" s="1" t="s">
        <v>4080</v>
      </c>
      <c r="D1338" s="1">
        <v>92</v>
      </c>
      <c r="E1338" s="2" t="s">
        <v>4081</v>
      </c>
      <c r="F1338" s="3">
        <v>1</v>
      </c>
      <c r="G1338" s="33">
        <v>32874</v>
      </c>
      <c r="H1338" s="31">
        <v>41365</v>
      </c>
      <c r="I1338" s="1"/>
      <c r="J1338" s="1"/>
      <c r="K1338" s="1"/>
      <c r="L1338" s="1"/>
      <c r="M1338" s="1"/>
      <c r="P1338" s="3"/>
      <c r="R1338" s="1"/>
      <c r="S1338" s="1"/>
    </row>
    <row r="1339" spans="1:19" x14ac:dyDescent="0.65">
      <c r="A1339" s="34">
        <v>1338</v>
      </c>
      <c r="B1339" s="3" t="s">
        <v>4082</v>
      </c>
      <c r="C1339" s="1" t="s">
        <v>4083</v>
      </c>
      <c r="D1339" s="1">
        <v>90</v>
      </c>
      <c r="E1339" s="2" t="s">
        <v>4084</v>
      </c>
      <c r="F1339" s="3">
        <v>1</v>
      </c>
      <c r="G1339" s="33">
        <v>32874</v>
      </c>
      <c r="H1339" s="31">
        <v>41365</v>
      </c>
      <c r="I1339" s="1"/>
      <c r="J1339" s="1"/>
      <c r="K1339" s="1"/>
      <c r="L1339" s="1"/>
      <c r="M1339" s="1"/>
      <c r="P1339" s="3"/>
      <c r="R1339" s="1"/>
      <c r="S1339" s="1"/>
    </row>
    <row r="1340" spans="1:19" x14ac:dyDescent="0.65">
      <c r="A1340" s="34">
        <v>1339</v>
      </c>
      <c r="B1340" s="3" t="s">
        <v>4085</v>
      </c>
      <c r="C1340" s="1" t="s">
        <v>4086</v>
      </c>
      <c r="D1340" s="1">
        <v>90</v>
      </c>
      <c r="E1340" s="2" t="s">
        <v>4087</v>
      </c>
      <c r="F1340" s="3">
        <v>1</v>
      </c>
      <c r="G1340" s="33">
        <v>32874</v>
      </c>
      <c r="H1340" s="31">
        <v>41365</v>
      </c>
      <c r="I1340" s="1"/>
      <c r="J1340" s="1"/>
      <c r="K1340" s="1"/>
      <c r="L1340" s="1"/>
      <c r="M1340" s="1"/>
      <c r="P1340" s="3"/>
      <c r="R1340" s="1"/>
      <c r="S1340" s="1"/>
    </row>
    <row r="1341" spans="1:19" x14ac:dyDescent="0.65">
      <c r="A1341" s="34">
        <v>1340</v>
      </c>
      <c r="B1341" s="3" t="s">
        <v>4088</v>
      </c>
      <c r="C1341" s="1" t="s">
        <v>4089</v>
      </c>
      <c r="D1341" s="1">
        <v>90</v>
      </c>
      <c r="E1341" s="2" t="s">
        <v>4090</v>
      </c>
      <c r="F1341" s="3">
        <v>1</v>
      </c>
      <c r="G1341" s="33">
        <v>32874</v>
      </c>
      <c r="H1341" s="31">
        <v>41365</v>
      </c>
      <c r="I1341" s="1"/>
      <c r="J1341" s="1"/>
      <c r="K1341" s="1"/>
      <c r="L1341" s="1"/>
      <c r="M1341" s="1"/>
      <c r="P1341" s="3"/>
      <c r="R1341" s="1"/>
      <c r="S1341" s="1"/>
    </row>
    <row r="1342" spans="1:19" x14ac:dyDescent="0.65">
      <c r="A1342" s="34">
        <v>1341</v>
      </c>
      <c r="B1342" s="3" t="s">
        <v>4091</v>
      </c>
      <c r="C1342" s="1" t="s">
        <v>4092</v>
      </c>
      <c r="D1342" s="1">
        <v>90</v>
      </c>
      <c r="E1342" s="2" t="s">
        <v>4093</v>
      </c>
      <c r="F1342" s="3">
        <v>1</v>
      </c>
      <c r="G1342" s="33">
        <v>32874</v>
      </c>
      <c r="H1342" s="31">
        <v>41365</v>
      </c>
      <c r="I1342" s="1"/>
      <c r="J1342" s="1"/>
      <c r="K1342" s="1"/>
      <c r="L1342" s="1"/>
      <c r="M1342" s="1"/>
      <c r="P1342" s="3"/>
      <c r="R1342" s="1"/>
      <c r="S1342" s="1"/>
    </row>
    <row r="1343" spans="1:19" x14ac:dyDescent="0.65">
      <c r="A1343" s="34">
        <v>1342</v>
      </c>
      <c r="B1343" s="3" t="s">
        <v>4094</v>
      </c>
      <c r="C1343" s="1" t="s">
        <v>4095</v>
      </c>
      <c r="D1343" s="1">
        <v>90</v>
      </c>
      <c r="E1343" s="2" t="s">
        <v>4096</v>
      </c>
      <c r="F1343" s="3">
        <v>1</v>
      </c>
      <c r="G1343" s="33">
        <v>32874</v>
      </c>
      <c r="H1343" s="31">
        <v>41365</v>
      </c>
      <c r="I1343" s="1"/>
      <c r="J1343" s="1"/>
      <c r="K1343" s="1"/>
      <c r="L1343" s="1"/>
      <c r="M1343" s="1"/>
      <c r="P1343" s="3"/>
      <c r="R1343" s="1"/>
      <c r="S1343" s="1"/>
    </row>
    <row r="1344" spans="1:19" x14ac:dyDescent="0.65">
      <c r="A1344" s="34">
        <v>1343</v>
      </c>
      <c r="B1344" s="3" t="s">
        <v>4097</v>
      </c>
      <c r="C1344" s="1" t="s">
        <v>4098</v>
      </c>
      <c r="D1344" s="1">
        <v>90</v>
      </c>
      <c r="E1344" s="2" t="s">
        <v>4099</v>
      </c>
      <c r="F1344" s="3">
        <v>1</v>
      </c>
      <c r="G1344" s="33">
        <v>32874</v>
      </c>
      <c r="H1344" s="31">
        <v>41365</v>
      </c>
      <c r="I1344" s="1"/>
      <c r="J1344" s="1"/>
      <c r="K1344" s="1"/>
      <c r="L1344" s="1"/>
      <c r="M1344" s="1"/>
      <c r="P1344" s="3"/>
      <c r="R1344" s="1"/>
      <c r="S1344" s="1"/>
    </row>
    <row r="1345" spans="1:19" x14ac:dyDescent="0.65">
      <c r="A1345" s="34">
        <v>1344</v>
      </c>
      <c r="B1345" s="3" t="s">
        <v>4100</v>
      </c>
      <c r="C1345" s="1" t="s">
        <v>4101</v>
      </c>
      <c r="D1345" s="1">
        <v>90</v>
      </c>
      <c r="E1345" s="2" t="s">
        <v>4102</v>
      </c>
      <c r="F1345" s="3">
        <v>1</v>
      </c>
      <c r="G1345" s="33">
        <v>32874</v>
      </c>
      <c r="H1345" s="31">
        <v>41365</v>
      </c>
      <c r="I1345" s="1"/>
      <c r="J1345" s="1"/>
      <c r="K1345" s="1"/>
      <c r="L1345" s="1"/>
      <c r="M1345" s="1"/>
      <c r="P1345" s="3"/>
      <c r="R1345" s="1"/>
      <c r="S1345" s="1"/>
    </row>
    <row r="1346" spans="1:19" x14ac:dyDescent="0.65">
      <c r="A1346" s="34">
        <v>1345</v>
      </c>
      <c r="B1346" s="3" t="s">
        <v>4103</v>
      </c>
      <c r="C1346" s="1" t="s">
        <v>4104</v>
      </c>
      <c r="D1346" s="1">
        <v>90</v>
      </c>
      <c r="E1346" s="2" t="s">
        <v>4105</v>
      </c>
      <c r="F1346" s="3">
        <v>1</v>
      </c>
      <c r="G1346" s="33">
        <v>32874</v>
      </c>
      <c r="H1346" s="31">
        <v>44019</v>
      </c>
      <c r="I1346" s="1"/>
      <c r="J1346" s="1"/>
      <c r="K1346" s="1"/>
      <c r="L1346" s="1"/>
      <c r="M1346" s="1"/>
      <c r="P1346" s="3"/>
      <c r="R1346" s="1"/>
      <c r="S1346" s="1"/>
    </row>
    <row r="1347" spans="1:19" x14ac:dyDescent="0.65">
      <c r="A1347" s="34">
        <v>1346</v>
      </c>
      <c r="B1347" s="3" t="s">
        <v>4106</v>
      </c>
      <c r="C1347" s="1" t="s">
        <v>4107</v>
      </c>
      <c r="D1347" s="1">
        <v>90</v>
      </c>
      <c r="E1347" s="2" t="s">
        <v>4108</v>
      </c>
      <c r="F1347" s="3">
        <v>1</v>
      </c>
      <c r="G1347" s="33">
        <v>32874</v>
      </c>
      <c r="H1347" s="31">
        <v>43095</v>
      </c>
      <c r="I1347" s="1"/>
      <c r="J1347" s="1"/>
      <c r="K1347" s="1"/>
      <c r="L1347" s="1"/>
      <c r="M1347" s="1"/>
      <c r="P1347" s="3"/>
      <c r="R1347" s="1"/>
      <c r="S1347" s="1"/>
    </row>
    <row r="1348" spans="1:19" x14ac:dyDescent="0.65">
      <c r="A1348" s="34">
        <v>1347</v>
      </c>
      <c r="B1348" s="3" t="s">
        <v>4109</v>
      </c>
      <c r="C1348" s="1" t="s">
        <v>4110</v>
      </c>
      <c r="D1348" s="1">
        <v>90</v>
      </c>
      <c r="E1348" s="2" t="s">
        <v>4111</v>
      </c>
      <c r="F1348" s="3">
        <v>1</v>
      </c>
      <c r="G1348" s="33">
        <v>32874</v>
      </c>
      <c r="H1348" s="31">
        <v>45792.598321759258</v>
      </c>
      <c r="I1348" s="1"/>
      <c r="J1348" s="1"/>
      <c r="K1348" s="1"/>
      <c r="L1348" s="1"/>
      <c r="M1348" s="1"/>
      <c r="P1348" s="3"/>
      <c r="R1348" s="1"/>
      <c r="S1348" s="1"/>
    </row>
    <row r="1349" spans="1:19" x14ac:dyDescent="0.65">
      <c r="A1349" s="34">
        <v>1348</v>
      </c>
      <c r="B1349" s="3" t="s">
        <v>4112</v>
      </c>
      <c r="C1349" s="1" t="s">
        <v>4113</v>
      </c>
      <c r="D1349" s="1">
        <v>90</v>
      </c>
      <c r="E1349" s="2" t="s">
        <v>4114</v>
      </c>
      <c r="F1349" s="3">
        <v>1</v>
      </c>
      <c r="G1349" s="33">
        <v>32874</v>
      </c>
      <c r="H1349" s="31">
        <v>41365</v>
      </c>
      <c r="I1349" s="1"/>
      <c r="J1349" s="1"/>
      <c r="K1349" s="1"/>
      <c r="L1349" s="1"/>
      <c r="M1349" s="1"/>
      <c r="P1349" s="3"/>
      <c r="R1349" s="1"/>
      <c r="S1349" s="1"/>
    </row>
    <row r="1350" spans="1:19" x14ac:dyDescent="0.65">
      <c r="A1350" s="34">
        <v>1349</v>
      </c>
      <c r="B1350" s="3" t="s">
        <v>4115</v>
      </c>
      <c r="C1350" s="1" t="s">
        <v>4116</v>
      </c>
      <c r="D1350" s="1">
        <v>90</v>
      </c>
      <c r="E1350" s="2" t="s">
        <v>4117</v>
      </c>
      <c r="F1350" s="3">
        <v>1</v>
      </c>
      <c r="G1350" s="33">
        <v>32874</v>
      </c>
      <c r="H1350" s="31">
        <v>45747.367962962962</v>
      </c>
      <c r="I1350" s="1"/>
      <c r="J1350" s="1"/>
      <c r="K1350" s="1"/>
      <c r="L1350" s="1"/>
      <c r="M1350" s="1"/>
      <c r="P1350" s="3"/>
      <c r="R1350" s="1"/>
      <c r="S1350" s="1"/>
    </row>
    <row r="1351" spans="1:19" x14ac:dyDescent="0.65">
      <c r="A1351" s="34">
        <v>1350</v>
      </c>
      <c r="B1351" s="3" t="s">
        <v>4118</v>
      </c>
      <c r="C1351" s="1" t="s">
        <v>4119</v>
      </c>
      <c r="D1351" s="1">
        <v>90</v>
      </c>
      <c r="E1351" s="2" t="s">
        <v>4120</v>
      </c>
      <c r="F1351" s="3">
        <v>1</v>
      </c>
      <c r="G1351" s="33">
        <v>32874</v>
      </c>
      <c r="H1351" s="31">
        <v>45275</v>
      </c>
      <c r="I1351" s="1"/>
      <c r="J1351" s="1"/>
      <c r="K1351" s="1"/>
      <c r="L1351" s="1"/>
      <c r="M1351" s="1"/>
      <c r="P1351" s="3"/>
      <c r="R1351" s="1"/>
      <c r="S1351" s="1"/>
    </row>
    <row r="1352" spans="1:19" x14ac:dyDescent="0.65">
      <c r="A1352" s="34">
        <v>1351</v>
      </c>
      <c r="B1352" s="3" t="s">
        <v>4121</v>
      </c>
      <c r="C1352" s="1" t="s">
        <v>4122</v>
      </c>
      <c r="D1352" s="1">
        <v>90</v>
      </c>
      <c r="E1352" s="2" t="s">
        <v>4123</v>
      </c>
      <c r="F1352" s="3">
        <v>1</v>
      </c>
      <c r="G1352" s="33">
        <v>32874</v>
      </c>
      <c r="H1352" s="31">
        <v>41365</v>
      </c>
      <c r="I1352" s="1"/>
      <c r="J1352" s="1"/>
      <c r="K1352" s="1"/>
      <c r="L1352" s="1"/>
      <c r="M1352" s="1"/>
      <c r="P1352" s="3"/>
      <c r="R1352" s="1"/>
      <c r="S1352" s="1"/>
    </row>
    <row r="1353" spans="1:19" x14ac:dyDescent="0.65">
      <c r="A1353" s="34">
        <v>1352</v>
      </c>
      <c r="B1353" s="3" t="s">
        <v>4124</v>
      </c>
      <c r="C1353" s="1" t="s">
        <v>4125</v>
      </c>
      <c r="D1353" s="1">
        <v>90</v>
      </c>
      <c r="E1353" s="2" t="s">
        <v>4126</v>
      </c>
      <c r="F1353" s="3">
        <v>1</v>
      </c>
      <c r="G1353" s="33">
        <v>32874</v>
      </c>
      <c r="H1353" s="31">
        <v>41365</v>
      </c>
      <c r="I1353" s="1"/>
      <c r="J1353" s="1"/>
      <c r="K1353" s="1"/>
      <c r="L1353" s="1"/>
      <c r="M1353" s="1"/>
      <c r="P1353" s="3"/>
      <c r="R1353" s="1"/>
      <c r="S1353" s="1"/>
    </row>
    <row r="1354" spans="1:19" x14ac:dyDescent="0.65">
      <c r="A1354" s="34">
        <v>1353</v>
      </c>
      <c r="B1354" s="3" t="s">
        <v>4127</v>
      </c>
      <c r="C1354" s="1" t="s">
        <v>4128</v>
      </c>
      <c r="D1354" s="1">
        <v>90</v>
      </c>
      <c r="E1354" s="2" t="s">
        <v>4129</v>
      </c>
      <c r="F1354" s="3">
        <v>1</v>
      </c>
      <c r="G1354" s="33">
        <v>32874</v>
      </c>
      <c r="H1354" s="31">
        <v>43308</v>
      </c>
      <c r="I1354" s="1"/>
      <c r="J1354" s="1"/>
      <c r="K1354" s="1"/>
      <c r="L1354" s="1"/>
      <c r="M1354" s="1"/>
      <c r="P1354" s="3"/>
      <c r="R1354" s="1"/>
      <c r="S1354" s="1"/>
    </row>
    <row r="1355" spans="1:19" x14ac:dyDescent="0.65">
      <c r="A1355" s="34">
        <v>1354</v>
      </c>
      <c r="B1355" s="3" t="s">
        <v>4130</v>
      </c>
      <c r="C1355" s="1" t="s">
        <v>4131</v>
      </c>
      <c r="D1355" s="1">
        <v>94</v>
      </c>
      <c r="E1355" s="2" t="s">
        <v>4132</v>
      </c>
      <c r="F1355" s="3">
        <v>1</v>
      </c>
      <c r="G1355" s="33">
        <v>32874</v>
      </c>
      <c r="H1355" s="31">
        <v>43094</v>
      </c>
      <c r="I1355" s="1"/>
      <c r="J1355" s="1"/>
      <c r="K1355" s="1"/>
      <c r="L1355" s="1"/>
      <c r="M1355" s="1"/>
      <c r="P1355" s="3"/>
      <c r="R1355" s="1"/>
      <c r="S1355" s="1"/>
    </row>
    <row r="1356" spans="1:19" x14ac:dyDescent="0.65">
      <c r="A1356" s="34">
        <v>1355</v>
      </c>
      <c r="B1356" s="3" t="s">
        <v>4134</v>
      </c>
      <c r="C1356" s="1" t="s">
        <v>4135</v>
      </c>
      <c r="D1356" s="1">
        <v>90</v>
      </c>
      <c r="E1356" s="2" t="s">
        <v>4136</v>
      </c>
      <c r="F1356" s="3">
        <v>1</v>
      </c>
      <c r="G1356" s="33">
        <v>32874</v>
      </c>
      <c r="H1356" s="31">
        <v>43924</v>
      </c>
      <c r="I1356" s="1"/>
      <c r="J1356" s="1"/>
      <c r="K1356" s="1"/>
      <c r="L1356" s="1"/>
      <c r="M1356" s="1"/>
      <c r="P1356" s="3"/>
      <c r="R1356" s="1"/>
      <c r="S1356" s="1"/>
    </row>
    <row r="1357" spans="1:19" x14ac:dyDescent="0.65">
      <c r="A1357" s="34">
        <v>1356</v>
      </c>
      <c r="B1357" s="3" t="s">
        <v>4137</v>
      </c>
      <c r="C1357" s="1" t="s">
        <v>4138</v>
      </c>
      <c r="D1357" s="1">
        <v>90</v>
      </c>
      <c r="E1357" s="2" t="s">
        <v>4139</v>
      </c>
      <c r="F1357" s="3">
        <v>1</v>
      </c>
      <c r="G1357" s="33">
        <v>32874</v>
      </c>
      <c r="H1357" s="31">
        <v>45685.522974537038</v>
      </c>
      <c r="I1357" s="1"/>
      <c r="J1357" s="1"/>
      <c r="K1357" s="1"/>
      <c r="L1357" s="1"/>
      <c r="M1357" s="1"/>
      <c r="P1357" s="3"/>
      <c r="R1357" s="1"/>
      <c r="S1357" s="1"/>
    </row>
    <row r="1358" spans="1:19" x14ac:dyDescent="0.65">
      <c r="A1358" s="34">
        <v>1357</v>
      </c>
      <c r="B1358" s="3" t="s">
        <v>4140</v>
      </c>
      <c r="C1358" s="1" t="s">
        <v>4141</v>
      </c>
      <c r="D1358" s="1">
        <v>90</v>
      </c>
      <c r="E1358" s="2" t="s">
        <v>4142</v>
      </c>
      <c r="F1358" s="3">
        <v>1</v>
      </c>
      <c r="G1358" s="33">
        <v>32874</v>
      </c>
      <c r="H1358" s="31">
        <v>45715.403287037036</v>
      </c>
      <c r="I1358" s="1"/>
      <c r="J1358" s="1"/>
      <c r="K1358" s="1"/>
      <c r="L1358" s="1"/>
      <c r="M1358" s="1"/>
      <c r="P1358" s="3"/>
      <c r="R1358" s="1"/>
      <c r="S1358" s="1"/>
    </row>
    <row r="1359" spans="1:19" x14ac:dyDescent="0.65">
      <c r="A1359" s="34">
        <v>1358</v>
      </c>
      <c r="B1359" s="3" t="s">
        <v>4143</v>
      </c>
      <c r="C1359" s="1" t="s">
        <v>4144</v>
      </c>
      <c r="D1359" s="1">
        <v>90</v>
      </c>
      <c r="E1359" s="2" t="s">
        <v>4145</v>
      </c>
      <c r="F1359" s="3">
        <v>1</v>
      </c>
      <c r="G1359" s="33">
        <v>32874</v>
      </c>
      <c r="H1359" s="31">
        <v>45720.641446759262</v>
      </c>
      <c r="I1359" s="1"/>
      <c r="J1359" s="1"/>
      <c r="K1359" s="1"/>
      <c r="L1359" s="1"/>
      <c r="M1359" s="1"/>
      <c r="P1359" s="3"/>
      <c r="R1359" s="1"/>
      <c r="S1359" s="1"/>
    </row>
    <row r="1360" spans="1:19" x14ac:dyDescent="0.65">
      <c r="A1360" s="34">
        <v>1359</v>
      </c>
      <c r="B1360" s="3" t="s">
        <v>4146</v>
      </c>
      <c r="C1360" s="1" t="s">
        <v>4147</v>
      </c>
      <c r="D1360" s="1">
        <v>95</v>
      </c>
      <c r="E1360" s="2" t="s">
        <v>4148</v>
      </c>
      <c r="F1360" s="3">
        <v>1</v>
      </c>
      <c r="G1360" s="33">
        <v>32874</v>
      </c>
      <c r="H1360" s="31">
        <v>44959</v>
      </c>
      <c r="I1360" s="1"/>
      <c r="J1360" s="1"/>
      <c r="K1360" s="1"/>
      <c r="L1360" s="1"/>
      <c r="M1360" s="1"/>
      <c r="P1360" s="3"/>
      <c r="R1360" s="1"/>
      <c r="S1360" s="1"/>
    </row>
    <row r="1361" spans="1:19" x14ac:dyDescent="0.65">
      <c r="A1361" s="34">
        <v>1360</v>
      </c>
      <c r="B1361" s="3" t="s">
        <v>4150</v>
      </c>
      <c r="C1361" s="1" t="s">
        <v>4151</v>
      </c>
      <c r="D1361" s="1">
        <v>96</v>
      </c>
      <c r="E1361" s="2" t="s">
        <v>4152</v>
      </c>
      <c r="F1361" s="3">
        <v>1</v>
      </c>
      <c r="G1361" s="33">
        <v>32874</v>
      </c>
      <c r="H1361" s="31">
        <v>44959</v>
      </c>
      <c r="I1361" s="1"/>
      <c r="J1361" s="1"/>
      <c r="K1361" s="1"/>
      <c r="L1361" s="1"/>
      <c r="M1361" s="1"/>
      <c r="P1361" s="3"/>
      <c r="R1361" s="1"/>
      <c r="S1361" s="1"/>
    </row>
    <row r="1362" spans="1:19" x14ac:dyDescent="0.65">
      <c r="A1362" s="34">
        <v>1361</v>
      </c>
      <c r="B1362" s="3" t="s">
        <v>4154</v>
      </c>
      <c r="C1362" s="1" t="s">
        <v>4155</v>
      </c>
      <c r="D1362" s="1">
        <v>97</v>
      </c>
      <c r="E1362" s="2" t="s">
        <v>4156</v>
      </c>
      <c r="F1362" s="3">
        <v>1</v>
      </c>
      <c r="G1362" s="33">
        <v>32874</v>
      </c>
      <c r="H1362" s="31">
        <v>43705</v>
      </c>
      <c r="I1362" s="1"/>
      <c r="J1362" s="1"/>
      <c r="K1362" s="1"/>
      <c r="L1362" s="1"/>
      <c r="M1362" s="1"/>
      <c r="P1362" s="3"/>
      <c r="R1362" s="1"/>
      <c r="S1362" s="1"/>
    </row>
    <row r="1363" spans="1:19" x14ac:dyDescent="0.65">
      <c r="A1363" s="34">
        <v>1362</v>
      </c>
      <c r="B1363" s="3" t="s">
        <v>4158</v>
      </c>
      <c r="C1363" s="1" t="s">
        <v>4159</v>
      </c>
      <c r="D1363" s="1">
        <v>97</v>
      </c>
      <c r="E1363" s="2" t="s">
        <v>4160</v>
      </c>
      <c r="F1363" s="3">
        <v>1</v>
      </c>
      <c r="G1363" s="33">
        <v>32874</v>
      </c>
      <c r="H1363" s="31">
        <v>44293</v>
      </c>
      <c r="I1363" s="1"/>
      <c r="J1363" s="1"/>
      <c r="K1363" s="1"/>
      <c r="L1363" s="1"/>
      <c r="M1363" s="1"/>
      <c r="P1363" s="3"/>
      <c r="R1363" s="1"/>
      <c r="S1363" s="1"/>
    </row>
    <row r="1364" spans="1:19" x14ac:dyDescent="0.65">
      <c r="A1364" s="34">
        <v>1363</v>
      </c>
      <c r="B1364" s="3" t="s">
        <v>4161</v>
      </c>
      <c r="C1364" s="1" t="s">
        <v>4162</v>
      </c>
      <c r="D1364" s="1">
        <v>97</v>
      </c>
      <c r="E1364" s="2" t="s">
        <v>4163</v>
      </c>
      <c r="F1364" s="3">
        <v>1</v>
      </c>
      <c r="G1364" s="33">
        <v>32874</v>
      </c>
      <c r="H1364" s="31">
        <v>43047</v>
      </c>
      <c r="I1364" s="1"/>
      <c r="J1364" s="1"/>
      <c r="K1364" s="1"/>
      <c r="L1364" s="1"/>
      <c r="M1364" s="1"/>
      <c r="P1364" s="3"/>
      <c r="R1364" s="1"/>
      <c r="S1364" s="1"/>
    </row>
    <row r="1365" spans="1:19" x14ac:dyDescent="0.65">
      <c r="A1365" s="34">
        <v>1364</v>
      </c>
      <c r="B1365" s="3" t="s">
        <v>4164</v>
      </c>
      <c r="C1365" s="1" t="s">
        <v>4165</v>
      </c>
      <c r="D1365" s="1">
        <v>98</v>
      </c>
      <c r="E1365" s="2" t="s">
        <v>4166</v>
      </c>
      <c r="F1365" s="3">
        <v>1</v>
      </c>
      <c r="G1365" s="33">
        <v>32874</v>
      </c>
      <c r="H1365" s="31">
        <v>42457</v>
      </c>
      <c r="I1365" s="1"/>
      <c r="J1365" s="1"/>
      <c r="K1365" s="1"/>
      <c r="L1365" s="1"/>
      <c r="M1365" s="1"/>
      <c r="P1365" s="3"/>
      <c r="R1365" s="1"/>
      <c r="S1365" s="1"/>
    </row>
    <row r="1366" spans="1:19" x14ac:dyDescent="0.65">
      <c r="A1366" s="34">
        <v>1365</v>
      </c>
      <c r="B1366" s="3" t="s">
        <v>4167</v>
      </c>
      <c r="C1366" s="1" t="s">
        <v>4168</v>
      </c>
      <c r="D1366" s="1">
        <v>97</v>
      </c>
      <c r="E1366" s="2" t="s">
        <v>4169</v>
      </c>
      <c r="F1366" s="3">
        <v>1</v>
      </c>
      <c r="G1366" s="33">
        <v>32874</v>
      </c>
      <c r="H1366" s="31">
        <v>44278</v>
      </c>
      <c r="I1366" s="1"/>
      <c r="J1366" s="1"/>
      <c r="K1366" s="1"/>
      <c r="L1366" s="1"/>
      <c r="M1366" s="1"/>
      <c r="P1366" s="3"/>
      <c r="R1366" s="1"/>
      <c r="S1366" s="1"/>
    </row>
    <row r="1367" spans="1:19" x14ac:dyDescent="0.65">
      <c r="A1367" s="34">
        <v>1366</v>
      </c>
      <c r="B1367" s="3" t="s">
        <v>4170</v>
      </c>
      <c r="C1367" s="1" t="s">
        <v>4171</v>
      </c>
      <c r="D1367" s="1">
        <v>97</v>
      </c>
      <c r="E1367" s="2" t="s">
        <v>4172</v>
      </c>
      <c r="F1367" s="3">
        <v>1</v>
      </c>
      <c r="G1367" s="33">
        <v>32874</v>
      </c>
      <c r="H1367" s="31">
        <v>41690</v>
      </c>
      <c r="I1367" s="1"/>
      <c r="J1367" s="1"/>
      <c r="K1367" s="1"/>
      <c r="L1367" s="1"/>
      <c r="M1367" s="1"/>
      <c r="P1367" s="3"/>
      <c r="R1367" s="1"/>
      <c r="S1367" s="1"/>
    </row>
    <row r="1368" spans="1:19" x14ac:dyDescent="0.65">
      <c r="A1368" s="34">
        <v>1367</v>
      </c>
      <c r="B1368" s="3" t="s">
        <v>4173</v>
      </c>
      <c r="C1368" s="1" t="s">
        <v>4174</v>
      </c>
      <c r="D1368" s="1">
        <v>97</v>
      </c>
      <c r="E1368" s="2" t="s">
        <v>4175</v>
      </c>
      <c r="F1368" s="3">
        <v>1</v>
      </c>
      <c r="G1368" s="33">
        <v>32874</v>
      </c>
      <c r="H1368" s="31">
        <v>41365</v>
      </c>
      <c r="I1368" s="1"/>
      <c r="J1368" s="1"/>
      <c r="K1368" s="1"/>
      <c r="L1368" s="1"/>
      <c r="M1368" s="1"/>
      <c r="P1368" s="3"/>
      <c r="R1368" s="1"/>
      <c r="S1368" s="1"/>
    </row>
    <row r="1369" spans="1:19" x14ac:dyDescent="0.65">
      <c r="A1369" s="34">
        <v>1368</v>
      </c>
      <c r="B1369" s="3" t="s">
        <v>4176</v>
      </c>
      <c r="C1369" s="1" t="s">
        <v>4177</v>
      </c>
      <c r="D1369" s="1">
        <v>97</v>
      </c>
      <c r="E1369" s="2" t="s">
        <v>4178</v>
      </c>
      <c r="F1369" s="3">
        <v>1</v>
      </c>
      <c r="G1369" s="33">
        <v>32874</v>
      </c>
      <c r="H1369" s="31">
        <v>45538</v>
      </c>
      <c r="I1369" s="1"/>
      <c r="J1369" s="1"/>
      <c r="K1369" s="1"/>
      <c r="L1369" s="1"/>
      <c r="M1369" s="1"/>
      <c r="P1369" s="3"/>
      <c r="R1369" s="1"/>
      <c r="S1369" s="1"/>
    </row>
    <row r="1370" spans="1:19" x14ac:dyDescent="0.65">
      <c r="A1370" s="34">
        <v>1369</v>
      </c>
      <c r="B1370" s="3" t="s">
        <v>4179</v>
      </c>
      <c r="C1370" s="1" t="s">
        <v>4180</v>
      </c>
      <c r="D1370" s="1">
        <v>97</v>
      </c>
      <c r="E1370" s="2" t="s">
        <v>4181</v>
      </c>
      <c r="F1370" s="3">
        <v>1</v>
      </c>
      <c r="G1370" s="33">
        <v>32874</v>
      </c>
      <c r="H1370" s="31">
        <v>41365</v>
      </c>
      <c r="I1370" s="1"/>
      <c r="J1370" s="1"/>
      <c r="K1370" s="1"/>
      <c r="L1370" s="1"/>
      <c r="M1370" s="1"/>
      <c r="P1370" s="3"/>
      <c r="R1370" s="1"/>
      <c r="S1370" s="1"/>
    </row>
    <row r="1371" spans="1:19" x14ac:dyDescent="0.65">
      <c r="A1371" s="34">
        <v>1370</v>
      </c>
      <c r="B1371" s="3" t="s">
        <v>4182</v>
      </c>
      <c r="C1371" s="1" t="s">
        <v>4183</v>
      </c>
      <c r="D1371" s="1">
        <v>97</v>
      </c>
      <c r="E1371" s="2" t="s">
        <v>4184</v>
      </c>
      <c r="F1371" s="3">
        <v>1</v>
      </c>
      <c r="G1371" s="33">
        <v>32874</v>
      </c>
      <c r="H1371" s="31">
        <v>41365</v>
      </c>
      <c r="I1371" s="1"/>
      <c r="J1371" s="1"/>
      <c r="K1371" s="1"/>
      <c r="L1371" s="1"/>
      <c r="M1371" s="1"/>
      <c r="P1371" s="3"/>
      <c r="R1371" s="1"/>
      <c r="S1371" s="1"/>
    </row>
    <row r="1372" spans="1:19" x14ac:dyDescent="0.65">
      <c r="A1372" s="34">
        <v>1371</v>
      </c>
      <c r="B1372" s="3" t="s">
        <v>4185</v>
      </c>
      <c r="C1372" s="1" t="s">
        <v>4186</v>
      </c>
      <c r="D1372" s="1">
        <v>97</v>
      </c>
      <c r="E1372" s="2" t="s">
        <v>4187</v>
      </c>
      <c r="F1372" s="3">
        <v>1</v>
      </c>
      <c r="G1372" s="33">
        <v>32874</v>
      </c>
      <c r="H1372" s="31">
        <v>43811</v>
      </c>
      <c r="I1372" s="1"/>
      <c r="J1372" s="1"/>
      <c r="K1372" s="1"/>
      <c r="L1372" s="1"/>
      <c r="M1372" s="1"/>
      <c r="P1372" s="3"/>
      <c r="R1372" s="1"/>
      <c r="S1372" s="1"/>
    </row>
    <row r="1373" spans="1:19" x14ac:dyDescent="0.65">
      <c r="A1373" s="34">
        <v>1372</v>
      </c>
      <c r="B1373" s="3" t="s">
        <v>4188</v>
      </c>
      <c r="C1373" s="1" t="s">
        <v>4189</v>
      </c>
      <c r="D1373" s="1">
        <v>97</v>
      </c>
      <c r="E1373" s="2" t="s">
        <v>4190</v>
      </c>
      <c r="F1373" s="3">
        <v>1</v>
      </c>
      <c r="G1373" s="33">
        <v>32874</v>
      </c>
      <c r="H1373" s="31">
        <v>41365</v>
      </c>
      <c r="I1373" s="1"/>
      <c r="J1373" s="1"/>
      <c r="K1373" s="1"/>
      <c r="L1373" s="1"/>
      <c r="M1373" s="1"/>
      <c r="P1373" s="3"/>
      <c r="R1373" s="1"/>
      <c r="S1373" s="1"/>
    </row>
    <row r="1374" spans="1:19" x14ac:dyDescent="0.65">
      <c r="A1374" s="34">
        <v>1373</v>
      </c>
      <c r="B1374" s="3" t="s">
        <v>4191</v>
      </c>
      <c r="C1374" s="1" t="s">
        <v>4192</v>
      </c>
      <c r="D1374" s="1">
        <v>97</v>
      </c>
      <c r="E1374" s="2" t="s">
        <v>4193</v>
      </c>
      <c r="F1374" s="3">
        <v>1</v>
      </c>
      <c r="G1374" s="33">
        <v>32874</v>
      </c>
      <c r="H1374" s="31">
        <v>41365</v>
      </c>
      <c r="I1374" s="1"/>
      <c r="J1374" s="1"/>
      <c r="K1374" s="1"/>
      <c r="L1374" s="1"/>
      <c r="M1374" s="1"/>
      <c r="P1374" s="3"/>
      <c r="R1374" s="1"/>
      <c r="S1374" s="1"/>
    </row>
    <row r="1375" spans="1:19" x14ac:dyDescent="0.65">
      <c r="A1375" s="34">
        <v>1374</v>
      </c>
      <c r="B1375" s="3" t="s">
        <v>4194</v>
      </c>
      <c r="C1375" s="1" t="s">
        <v>4195</v>
      </c>
      <c r="D1375" s="1">
        <v>97</v>
      </c>
      <c r="E1375" s="2" t="s">
        <v>4196</v>
      </c>
      <c r="F1375" s="3">
        <v>1</v>
      </c>
      <c r="G1375" s="33">
        <v>32874</v>
      </c>
      <c r="H1375" s="31">
        <v>41800</v>
      </c>
      <c r="I1375" s="1"/>
      <c r="J1375" s="1"/>
      <c r="K1375" s="1"/>
      <c r="L1375" s="1"/>
      <c r="M1375" s="1"/>
      <c r="P1375" s="3"/>
      <c r="R1375" s="1"/>
      <c r="S1375" s="1"/>
    </row>
    <row r="1376" spans="1:19" x14ac:dyDescent="0.65">
      <c r="A1376" s="34">
        <v>1375</v>
      </c>
      <c r="B1376" s="3" t="s">
        <v>4197</v>
      </c>
      <c r="C1376" s="1" t="s">
        <v>4198</v>
      </c>
      <c r="D1376" s="1">
        <v>97</v>
      </c>
      <c r="E1376" s="2" t="s">
        <v>4199</v>
      </c>
      <c r="F1376" s="3">
        <v>1</v>
      </c>
      <c r="G1376" s="33">
        <v>32874</v>
      </c>
      <c r="H1376" s="31">
        <v>45065</v>
      </c>
      <c r="I1376" s="1"/>
      <c r="J1376" s="1"/>
      <c r="K1376" s="1"/>
      <c r="L1376" s="1"/>
      <c r="M1376" s="1"/>
      <c r="P1376" s="3"/>
      <c r="R1376" s="1"/>
      <c r="S1376" s="1"/>
    </row>
    <row r="1377" spans="1:19" x14ac:dyDescent="0.65">
      <c r="A1377" s="34">
        <v>1376</v>
      </c>
      <c r="B1377" s="3" t="s">
        <v>4200</v>
      </c>
      <c r="C1377" s="1" t="s">
        <v>4201</v>
      </c>
      <c r="D1377" s="1">
        <v>97</v>
      </c>
      <c r="E1377" s="2" t="s">
        <v>4202</v>
      </c>
      <c r="F1377" s="3">
        <v>1</v>
      </c>
      <c r="G1377" s="33">
        <v>32874</v>
      </c>
      <c r="H1377" s="31">
        <v>41365</v>
      </c>
      <c r="I1377" s="1"/>
      <c r="J1377" s="1"/>
      <c r="K1377" s="1"/>
      <c r="L1377" s="1"/>
      <c r="M1377" s="1"/>
      <c r="P1377" s="3"/>
      <c r="R1377" s="1"/>
      <c r="S1377" s="1"/>
    </row>
    <row r="1378" spans="1:19" x14ac:dyDescent="0.65">
      <c r="A1378" s="34">
        <v>1377</v>
      </c>
      <c r="B1378" s="3" t="s">
        <v>4203</v>
      </c>
      <c r="C1378" s="1" t="s">
        <v>4204</v>
      </c>
      <c r="D1378" s="1">
        <v>97</v>
      </c>
      <c r="E1378" s="2" t="s">
        <v>4205</v>
      </c>
      <c r="F1378" s="3">
        <v>1</v>
      </c>
      <c r="G1378" s="33">
        <v>32874</v>
      </c>
      <c r="H1378" s="31">
        <v>44431</v>
      </c>
      <c r="I1378" s="1"/>
      <c r="J1378" s="1"/>
      <c r="K1378" s="1"/>
      <c r="L1378" s="1"/>
      <c r="M1378" s="1"/>
      <c r="P1378" s="3"/>
      <c r="R1378" s="1"/>
      <c r="S1378" s="1"/>
    </row>
    <row r="1379" spans="1:19" x14ac:dyDescent="0.65">
      <c r="A1379" s="34">
        <v>1378</v>
      </c>
      <c r="B1379" s="3" t="s">
        <v>4206</v>
      </c>
      <c r="C1379" s="1" t="s">
        <v>4207</v>
      </c>
      <c r="D1379" s="1">
        <v>97</v>
      </c>
      <c r="E1379" s="2" t="s">
        <v>4208</v>
      </c>
      <c r="F1379" s="3">
        <v>1</v>
      </c>
      <c r="G1379" s="33">
        <v>32874</v>
      </c>
      <c r="H1379" s="31">
        <v>43930</v>
      </c>
      <c r="I1379" s="1"/>
      <c r="J1379" s="1"/>
      <c r="K1379" s="1"/>
      <c r="L1379" s="1"/>
      <c r="M1379" s="1"/>
      <c r="P1379" s="3"/>
      <c r="R1379" s="1"/>
      <c r="S1379" s="1"/>
    </row>
    <row r="1380" spans="1:19" x14ac:dyDescent="0.65">
      <c r="A1380" s="34">
        <v>1379</v>
      </c>
      <c r="B1380" s="3" t="s">
        <v>4209</v>
      </c>
      <c r="C1380" s="1" t="s">
        <v>4210</v>
      </c>
      <c r="D1380" s="1">
        <v>97</v>
      </c>
      <c r="E1380" s="2" t="s">
        <v>4211</v>
      </c>
      <c r="F1380" s="3">
        <v>1</v>
      </c>
      <c r="G1380" s="33">
        <v>32874</v>
      </c>
      <c r="H1380" s="31">
        <v>41365</v>
      </c>
      <c r="I1380" s="1"/>
      <c r="J1380" s="1"/>
      <c r="K1380" s="1"/>
      <c r="L1380" s="1"/>
      <c r="M1380" s="1"/>
      <c r="P1380" s="3"/>
      <c r="R1380" s="1"/>
      <c r="S1380" s="1"/>
    </row>
    <row r="1381" spans="1:19" x14ac:dyDescent="0.65">
      <c r="A1381" s="34">
        <v>1380</v>
      </c>
      <c r="B1381" s="3" t="s">
        <v>4212</v>
      </c>
      <c r="C1381" s="1" t="s">
        <v>4213</v>
      </c>
      <c r="D1381" s="1">
        <v>97</v>
      </c>
      <c r="E1381" s="9" t="s">
        <v>4214</v>
      </c>
      <c r="F1381" s="3">
        <v>1</v>
      </c>
      <c r="G1381" s="33">
        <v>32874</v>
      </c>
      <c r="H1381" s="31">
        <v>43721</v>
      </c>
      <c r="I1381" s="1"/>
      <c r="J1381" s="1"/>
      <c r="K1381" s="1"/>
      <c r="L1381" s="1"/>
      <c r="M1381" s="1"/>
      <c r="P1381" s="3"/>
      <c r="R1381" s="1"/>
      <c r="S1381" s="1"/>
    </row>
    <row r="1382" spans="1:19" x14ac:dyDescent="0.65">
      <c r="A1382" s="34">
        <v>1381</v>
      </c>
      <c r="B1382" s="3" t="s">
        <v>4215</v>
      </c>
      <c r="C1382" s="1" t="s">
        <v>4216</v>
      </c>
      <c r="D1382" s="1">
        <v>97</v>
      </c>
      <c r="E1382" s="2" t="s">
        <v>4217</v>
      </c>
      <c r="F1382" s="3">
        <v>1</v>
      </c>
      <c r="G1382" s="33">
        <v>32874</v>
      </c>
      <c r="H1382" s="31">
        <v>41365</v>
      </c>
      <c r="I1382" s="1"/>
      <c r="J1382" s="1"/>
      <c r="K1382" s="1"/>
      <c r="L1382" s="1"/>
      <c r="M1382" s="1"/>
      <c r="P1382" s="3"/>
      <c r="R1382" s="1"/>
      <c r="S1382" s="1"/>
    </row>
    <row r="1383" spans="1:19" x14ac:dyDescent="0.65">
      <c r="A1383" s="34">
        <v>1382</v>
      </c>
      <c r="B1383" s="3" t="s">
        <v>4218</v>
      </c>
      <c r="C1383" s="1" t="s">
        <v>4219</v>
      </c>
      <c r="D1383" s="1">
        <v>97</v>
      </c>
      <c r="E1383" s="2" t="s">
        <v>4220</v>
      </c>
      <c r="F1383" s="3">
        <v>1</v>
      </c>
      <c r="G1383" s="33">
        <v>32874</v>
      </c>
      <c r="H1383" s="31">
        <v>44552</v>
      </c>
      <c r="I1383" s="1"/>
      <c r="J1383" s="1"/>
      <c r="K1383" s="1"/>
      <c r="L1383" s="1"/>
      <c r="M1383" s="1"/>
      <c r="P1383" s="3"/>
      <c r="R1383" s="1"/>
      <c r="S1383" s="1"/>
    </row>
    <row r="1384" spans="1:19" x14ac:dyDescent="0.65">
      <c r="A1384" s="34">
        <v>1383</v>
      </c>
      <c r="B1384" s="3" t="s">
        <v>4221</v>
      </c>
      <c r="C1384" s="1" t="s">
        <v>4222</v>
      </c>
      <c r="D1384" s="1">
        <v>97</v>
      </c>
      <c r="E1384" s="2" t="s">
        <v>4223</v>
      </c>
      <c r="F1384" s="3">
        <v>1</v>
      </c>
      <c r="G1384" s="33">
        <v>32874</v>
      </c>
      <c r="H1384" s="31">
        <v>41821</v>
      </c>
      <c r="I1384" s="1"/>
      <c r="J1384" s="1"/>
      <c r="K1384" s="1"/>
      <c r="L1384" s="1"/>
      <c r="M1384" s="1"/>
      <c r="P1384" s="3"/>
      <c r="R1384" s="1"/>
      <c r="S1384" s="1"/>
    </row>
    <row r="1385" spans="1:19" x14ac:dyDescent="0.65">
      <c r="A1385" s="34">
        <v>1384</v>
      </c>
      <c r="B1385" s="3" t="s">
        <v>4224</v>
      </c>
      <c r="C1385" s="1" t="s">
        <v>4225</v>
      </c>
      <c r="D1385" s="1">
        <v>97</v>
      </c>
      <c r="E1385" s="2" t="s">
        <v>4226</v>
      </c>
      <c r="F1385" s="3">
        <v>1</v>
      </c>
      <c r="G1385" s="33">
        <v>32874</v>
      </c>
      <c r="H1385" s="31">
        <v>42019</v>
      </c>
      <c r="I1385" s="1"/>
      <c r="J1385" s="1"/>
      <c r="K1385" s="1"/>
      <c r="L1385" s="1"/>
      <c r="M1385" s="1"/>
      <c r="P1385" s="3"/>
      <c r="R1385" s="1"/>
      <c r="S1385" s="1"/>
    </row>
    <row r="1386" spans="1:19" x14ac:dyDescent="0.65">
      <c r="A1386" s="34">
        <v>1385</v>
      </c>
      <c r="B1386" s="3" t="s">
        <v>4227</v>
      </c>
      <c r="C1386" s="1" t="s">
        <v>4228</v>
      </c>
      <c r="D1386" s="1">
        <v>97</v>
      </c>
      <c r="E1386" s="2" t="s">
        <v>4229</v>
      </c>
      <c r="F1386" s="3">
        <v>1</v>
      </c>
      <c r="G1386" s="33">
        <v>32874</v>
      </c>
      <c r="H1386" s="31">
        <v>45076</v>
      </c>
      <c r="I1386" s="1"/>
      <c r="J1386" s="1"/>
      <c r="K1386" s="1"/>
      <c r="L1386" s="1"/>
      <c r="M1386" s="1"/>
      <c r="P1386" s="3"/>
      <c r="R1386" s="1"/>
      <c r="S1386" s="1"/>
    </row>
    <row r="1387" spans="1:19" x14ac:dyDescent="0.65">
      <c r="A1387" s="34">
        <v>1386</v>
      </c>
      <c r="B1387" s="3" t="s">
        <v>4230</v>
      </c>
      <c r="C1387" s="1" t="s">
        <v>4231</v>
      </c>
      <c r="D1387" s="1">
        <v>97</v>
      </c>
      <c r="E1387" s="2" t="s">
        <v>4232</v>
      </c>
      <c r="F1387" s="3">
        <v>1</v>
      </c>
      <c r="G1387" s="33">
        <v>32874</v>
      </c>
      <c r="H1387" s="31">
        <v>42501</v>
      </c>
      <c r="I1387" s="1"/>
      <c r="J1387" s="1"/>
      <c r="K1387" s="1"/>
      <c r="L1387" s="1"/>
      <c r="M1387" s="1"/>
      <c r="P1387" s="3"/>
      <c r="R1387" s="1"/>
      <c r="S1387" s="1"/>
    </row>
    <row r="1388" spans="1:19" x14ac:dyDescent="0.65">
      <c r="A1388" s="34">
        <v>1387</v>
      </c>
      <c r="B1388" s="3" t="s">
        <v>4233</v>
      </c>
      <c r="C1388" s="1" t="s">
        <v>4234</v>
      </c>
      <c r="D1388" s="1">
        <v>97</v>
      </c>
      <c r="E1388" s="2" t="s">
        <v>4235</v>
      </c>
      <c r="F1388" s="3">
        <v>1</v>
      </c>
      <c r="G1388" s="33">
        <v>32874</v>
      </c>
      <c r="H1388" s="31">
        <v>44882</v>
      </c>
      <c r="I1388" s="1"/>
      <c r="J1388" s="1"/>
      <c r="K1388" s="1"/>
      <c r="L1388" s="1"/>
      <c r="M1388" s="1"/>
      <c r="P1388" s="3"/>
      <c r="R1388" s="1"/>
      <c r="S1388" s="1"/>
    </row>
    <row r="1389" spans="1:19" x14ac:dyDescent="0.65">
      <c r="A1389" s="34">
        <v>1388</v>
      </c>
      <c r="B1389" s="3" t="s">
        <v>4236</v>
      </c>
      <c r="C1389" s="1" t="s">
        <v>4237</v>
      </c>
      <c r="D1389" s="1">
        <v>97</v>
      </c>
      <c r="E1389" s="2" t="s">
        <v>4238</v>
      </c>
      <c r="F1389" s="3">
        <v>1</v>
      </c>
      <c r="G1389" s="33">
        <v>32874</v>
      </c>
      <c r="H1389" s="31">
        <v>44907</v>
      </c>
      <c r="I1389" s="1"/>
      <c r="J1389" s="1"/>
      <c r="K1389" s="1"/>
      <c r="L1389" s="1"/>
      <c r="M1389" s="1"/>
      <c r="P1389" s="3"/>
      <c r="R1389" s="1"/>
      <c r="S1389" s="1"/>
    </row>
    <row r="1390" spans="1:19" x14ac:dyDescent="0.65">
      <c r="A1390" s="34">
        <v>1389</v>
      </c>
      <c r="B1390" s="3" t="s">
        <v>4239</v>
      </c>
      <c r="C1390" s="1" t="s">
        <v>4240</v>
      </c>
      <c r="D1390" s="1">
        <v>97</v>
      </c>
      <c r="E1390" s="2" t="s">
        <v>4241</v>
      </c>
      <c r="F1390" s="3">
        <v>1</v>
      </c>
      <c r="G1390" s="33">
        <v>32874</v>
      </c>
      <c r="H1390" s="31">
        <v>43187</v>
      </c>
      <c r="I1390" s="1"/>
      <c r="J1390" s="1"/>
      <c r="K1390" s="1"/>
      <c r="L1390" s="1"/>
      <c r="M1390" s="1"/>
      <c r="P1390" s="3"/>
      <c r="R1390" s="1"/>
      <c r="S1390" s="1"/>
    </row>
    <row r="1391" spans="1:19" x14ac:dyDescent="0.65">
      <c r="A1391" s="34">
        <v>1390</v>
      </c>
      <c r="B1391" s="3" t="s">
        <v>4242</v>
      </c>
      <c r="C1391" s="1" t="s">
        <v>4243</v>
      </c>
      <c r="D1391" s="1">
        <v>97</v>
      </c>
      <c r="E1391" s="2" t="s">
        <v>4244</v>
      </c>
      <c r="F1391" s="3">
        <v>1</v>
      </c>
      <c r="G1391" s="33">
        <v>32874</v>
      </c>
      <c r="H1391" s="31">
        <v>45065</v>
      </c>
      <c r="I1391" s="1"/>
      <c r="J1391" s="1"/>
      <c r="K1391" s="1"/>
      <c r="L1391" s="1"/>
      <c r="M1391" s="1"/>
      <c r="P1391" s="3"/>
      <c r="R1391" s="1"/>
      <c r="S1391" s="1"/>
    </row>
    <row r="1392" spans="1:19" x14ac:dyDescent="0.65">
      <c r="A1392" s="34">
        <v>1391</v>
      </c>
      <c r="B1392" s="3" t="s">
        <v>4245</v>
      </c>
      <c r="C1392" s="1" t="s">
        <v>4246</v>
      </c>
      <c r="D1392" s="1">
        <v>97</v>
      </c>
      <c r="E1392" s="2" t="s">
        <v>4247</v>
      </c>
      <c r="F1392" s="3">
        <v>1</v>
      </c>
      <c r="G1392" s="33">
        <v>32874</v>
      </c>
      <c r="H1392" s="31">
        <v>45936.393310185187</v>
      </c>
      <c r="I1392" s="1"/>
      <c r="J1392" s="1"/>
      <c r="K1392" s="1"/>
      <c r="L1392" s="1"/>
      <c r="M1392" s="1"/>
      <c r="P1392" s="3"/>
      <c r="R1392" s="1"/>
      <c r="S1392" s="1"/>
    </row>
    <row r="1393" spans="1:19" x14ac:dyDescent="0.65">
      <c r="A1393" s="34">
        <v>1392</v>
      </c>
      <c r="B1393" s="3" t="s">
        <v>4248</v>
      </c>
      <c r="C1393" s="1" t="s">
        <v>4249</v>
      </c>
      <c r="D1393" s="1">
        <v>97</v>
      </c>
      <c r="E1393" s="2" t="s">
        <v>4250</v>
      </c>
      <c r="F1393" s="3">
        <v>1</v>
      </c>
      <c r="G1393" s="33">
        <v>32874</v>
      </c>
      <c r="H1393" s="31">
        <v>43728</v>
      </c>
      <c r="I1393" s="1"/>
      <c r="J1393" s="1"/>
      <c r="K1393" s="1"/>
      <c r="L1393" s="1"/>
      <c r="M1393" s="1"/>
      <c r="P1393" s="3"/>
      <c r="R1393" s="1"/>
      <c r="S1393" s="1"/>
    </row>
    <row r="1394" spans="1:19" x14ac:dyDescent="0.65">
      <c r="A1394" s="34">
        <v>1393</v>
      </c>
      <c r="B1394" s="3" t="s">
        <v>4251</v>
      </c>
      <c r="C1394" s="1" t="s">
        <v>4252</v>
      </c>
      <c r="D1394" s="1">
        <v>97</v>
      </c>
      <c r="E1394" s="2" t="s">
        <v>4253</v>
      </c>
      <c r="F1394" s="3">
        <v>1</v>
      </c>
      <c r="G1394" s="33">
        <v>32874</v>
      </c>
      <c r="H1394" s="31">
        <v>43728</v>
      </c>
      <c r="I1394" s="1"/>
      <c r="J1394" s="1"/>
      <c r="K1394" s="1"/>
      <c r="L1394" s="1"/>
      <c r="M1394" s="1"/>
      <c r="P1394" s="3"/>
      <c r="R1394" s="1"/>
      <c r="S1394" s="1"/>
    </row>
    <row r="1395" spans="1:19" x14ac:dyDescent="0.65">
      <c r="A1395" s="34">
        <v>1394</v>
      </c>
      <c r="B1395" s="3" t="s">
        <v>4254</v>
      </c>
      <c r="C1395" s="1" t="s">
        <v>4255</v>
      </c>
      <c r="D1395" s="1">
        <v>97</v>
      </c>
      <c r="E1395" s="2" t="s">
        <v>4256</v>
      </c>
      <c r="F1395" s="3">
        <v>1</v>
      </c>
      <c r="G1395" s="33">
        <v>32874</v>
      </c>
      <c r="H1395" s="31">
        <v>43880</v>
      </c>
      <c r="I1395" s="1"/>
      <c r="J1395" s="1"/>
      <c r="K1395" s="1"/>
      <c r="L1395" s="1"/>
      <c r="M1395" s="1"/>
      <c r="P1395" s="3"/>
      <c r="R1395" s="1"/>
      <c r="S1395" s="1"/>
    </row>
    <row r="1396" spans="1:19" x14ac:dyDescent="0.65">
      <c r="A1396" s="34">
        <v>1395</v>
      </c>
      <c r="B1396" s="3" t="s">
        <v>4257</v>
      </c>
      <c r="C1396" s="1" t="s">
        <v>4258</v>
      </c>
      <c r="D1396" s="1">
        <v>99</v>
      </c>
      <c r="E1396" s="2" t="s">
        <v>4259</v>
      </c>
      <c r="F1396" s="3">
        <v>1</v>
      </c>
      <c r="G1396" s="33">
        <v>32874</v>
      </c>
      <c r="H1396" s="31">
        <v>45169</v>
      </c>
      <c r="I1396" s="1"/>
      <c r="J1396" s="1"/>
      <c r="K1396" s="1"/>
      <c r="L1396" s="1"/>
      <c r="M1396" s="1"/>
      <c r="P1396" s="3"/>
      <c r="R1396" s="1"/>
      <c r="S1396" s="1"/>
    </row>
    <row r="1397" spans="1:19" x14ac:dyDescent="0.65">
      <c r="A1397" s="34">
        <v>1396</v>
      </c>
      <c r="B1397" s="3" t="s">
        <v>4260</v>
      </c>
      <c r="C1397" s="1" t="s">
        <v>4261</v>
      </c>
      <c r="D1397" s="1">
        <v>99</v>
      </c>
      <c r="E1397" s="2" t="s">
        <v>4262</v>
      </c>
      <c r="F1397" s="3">
        <v>1</v>
      </c>
      <c r="G1397" s="33">
        <v>32874</v>
      </c>
      <c r="H1397" s="31">
        <v>45169</v>
      </c>
      <c r="I1397" s="1"/>
      <c r="J1397" s="1"/>
      <c r="K1397" s="1"/>
      <c r="L1397" s="1"/>
      <c r="M1397" s="1"/>
      <c r="P1397" s="3"/>
      <c r="R1397" s="1"/>
      <c r="S1397" s="1"/>
    </row>
    <row r="1398" spans="1:19" x14ac:dyDescent="0.65">
      <c r="A1398" s="34">
        <v>1397</v>
      </c>
      <c r="B1398" s="3" t="s">
        <v>4263</v>
      </c>
      <c r="C1398" s="1" t="s">
        <v>4264</v>
      </c>
      <c r="D1398" s="1">
        <v>97</v>
      </c>
      <c r="E1398" s="2" t="s">
        <v>4265</v>
      </c>
      <c r="F1398" s="3">
        <v>1</v>
      </c>
      <c r="G1398" s="33">
        <v>32874</v>
      </c>
      <c r="H1398" s="31">
        <v>44148</v>
      </c>
      <c r="I1398" s="1"/>
      <c r="J1398" s="1"/>
      <c r="K1398" s="1"/>
      <c r="L1398" s="1"/>
      <c r="M1398" s="1"/>
      <c r="P1398" s="3"/>
      <c r="R1398" s="1"/>
      <c r="S1398" s="1"/>
    </row>
    <row r="1399" spans="1:19" x14ac:dyDescent="0.65">
      <c r="A1399" s="34">
        <v>1398</v>
      </c>
      <c r="B1399" s="3" t="s">
        <v>4266</v>
      </c>
      <c r="C1399" s="1" t="s">
        <v>4267</v>
      </c>
      <c r="D1399" s="1">
        <v>97</v>
      </c>
      <c r="E1399" s="2" t="s">
        <v>4268</v>
      </c>
      <c r="F1399" s="3">
        <v>1</v>
      </c>
      <c r="G1399" s="33">
        <v>32874</v>
      </c>
      <c r="H1399" s="31">
        <v>44879</v>
      </c>
      <c r="I1399" s="1"/>
      <c r="J1399" s="1"/>
      <c r="K1399" s="1"/>
      <c r="L1399" s="1"/>
      <c r="M1399" s="1"/>
      <c r="P1399" s="3"/>
      <c r="R1399" s="1"/>
      <c r="S1399" s="1"/>
    </row>
    <row r="1400" spans="1:19" x14ac:dyDescent="0.65">
      <c r="A1400" s="34">
        <v>1399</v>
      </c>
      <c r="B1400" s="3" t="s">
        <v>4269</v>
      </c>
      <c r="C1400" s="1" t="s">
        <v>4270</v>
      </c>
      <c r="D1400" s="1">
        <v>97</v>
      </c>
      <c r="E1400" s="2" t="s">
        <v>4271</v>
      </c>
      <c r="F1400" s="3">
        <v>1</v>
      </c>
      <c r="G1400" s="33">
        <v>32874</v>
      </c>
      <c r="H1400" s="31">
        <v>44985</v>
      </c>
      <c r="I1400" s="1"/>
      <c r="J1400" s="1"/>
      <c r="K1400" s="1"/>
      <c r="L1400" s="1"/>
      <c r="M1400" s="1"/>
      <c r="P1400" s="3"/>
      <c r="R1400" s="1"/>
      <c r="S1400" s="1"/>
    </row>
    <row r="1401" spans="1:19" x14ac:dyDescent="0.65">
      <c r="A1401" s="34">
        <v>1400</v>
      </c>
      <c r="B1401" s="3" t="s">
        <v>4272</v>
      </c>
      <c r="C1401" s="1" t="s">
        <v>4273</v>
      </c>
      <c r="D1401" s="1">
        <v>97</v>
      </c>
      <c r="E1401" s="2" t="s">
        <v>4274</v>
      </c>
      <c r="F1401" s="3">
        <v>1</v>
      </c>
      <c r="G1401" s="33">
        <v>32874</v>
      </c>
      <c r="H1401" s="31">
        <v>45103</v>
      </c>
      <c r="I1401" s="1"/>
      <c r="J1401" s="1"/>
      <c r="K1401" s="1"/>
      <c r="L1401" s="1"/>
      <c r="M1401" s="1"/>
      <c r="P1401" s="3"/>
      <c r="R1401" s="1"/>
      <c r="S1401" s="1"/>
    </row>
    <row r="1402" spans="1:19" x14ac:dyDescent="0.65">
      <c r="A1402" s="34">
        <v>1401</v>
      </c>
      <c r="B1402" s="3" t="s">
        <v>4275</v>
      </c>
      <c r="C1402" s="1" t="s">
        <v>4276</v>
      </c>
      <c r="D1402" s="1">
        <v>100</v>
      </c>
      <c r="E1402" s="2" t="s">
        <v>4277</v>
      </c>
      <c r="F1402" s="3">
        <v>1</v>
      </c>
      <c r="G1402" s="33">
        <v>32874</v>
      </c>
      <c r="H1402" s="31">
        <v>45806.649097222224</v>
      </c>
      <c r="I1402" s="1"/>
      <c r="J1402" s="1"/>
      <c r="K1402" s="1"/>
      <c r="L1402" s="1"/>
      <c r="M1402" s="1"/>
      <c r="P1402" s="3"/>
      <c r="R1402" s="1"/>
      <c r="S1402" s="1"/>
    </row>
    <row r="1403" spans="1:19" x14ac:dyDescent="0.65">
      <c r="A1403" s="34">
        <v>1402</v>
      </c>
      <c r="B1403" s="3" t="s">
        <v>4279</v>
      </c>
      <c r="C1403" s="1" t="s">
        <v>4280</v>
      </c>
      <c r="D1403" s="1">
        <v>101</v>
      </c>
      <c r="E1403" s="2" t="s">
        <v>4281</v>
      </c>
      <c r="F1403" s="3">
        <v>1</v>
      </c>
      <c r="G1403" s="33">
        <v>32874</v>
      </c>
      <c r="H1403" s="31">
        <v>45135</v>
      </c>
      <c r="I1403" s="1"/>
      <c r="J1403" s="1"/>
      <c r="K1403" s="1"/>
      <c r="L1403" s="1"/>
      <c r="M1403" s="1"/>
      <c r="P1403" s="3"/>
      <c r="R1403" s="1"/>
      <c r="S1403" s="1"/>
    </row>
    <row r="1404" spans="1:19" x14ac:dyDescent="0.65">
      <c r="A1404" s="34">
        <v>1403</v>
      </c>
      <c r="B1404" s="3" t="s">
        <v>4282</v>
      </c>
      <c r="C1404" s="1" t="s">
        <v>4283</v>
      </c>
      <c r="D1404" s="1">
        <v>101</v>
      </c>
      <c r="E1404" s="2" t="s">
        <v>4284</v>
      </c>
      <c r="F1404" s="3">
        <v>1</v>
      </c>
      <c r="G1404" s="33">
        <v>32874</v>
      </c>
      <c r="H1404" s="31">
        <v>43348</v>
      </c>
      <c r="I1404" s="1"/>
      <c r="J1404" s="1"/>
      <c r="K1404" s="1"/>
      <c r="L1404" s="1"/>
      <c r="M1404" s="1"/>
      <c r="P1404" s="3"/>
      <c r="R1404" s="1"/>
      <c r="S1404" s="1"/>
    </row>
    <row r="1405" spans="1:19" x14ac:dyDescent="0.65">
      <c r="A1405" s="34">
        <v>1404</v>
      </c>
      <c r="B1405" s="3" t="s">
        <v>4285</v>
      </c>
      <c r="C1405" s="1" t="s">
        <v>4286</v>
      </c>
      <c r="D1405" s="1">
        <v>100</v>
      </c>
      <c r="E1405" s="2" t="s">
        <v>4287</v>
      </c>
      <c r="F1405" s="3">
        <v>1</v>
      </c>
      <c r="G1405" s="33">
        <v>32874</v>
      </c>
      <c r="H1405" s="31">
        <v>44958</v>
      </c>
      <c r="I1405" s="1"/>
      <c r="J1405" s="1"/>
      <c r="K1405" s="1"/>
      <c r="L1405" s="1"/>
      <c r="M1405" s="1"/>
      <c r="P1405" s="3"/>
      <c r="R1405" s="1"/>
      <c r="S1405" s="1"/>
    </row>
    <row r="1406" spans="1:19" x14ac:dyDescent="0.65">
      <c r="A1406" s="34">
        <v>1405</v>
      </c>
      <c r="B1406" s="3" t="s">
        <v>4288</v>
      </c>
      <c r="C1406" s="1" t="s">
        <v>4289</v>
      </c>
      <c r="D1406" s="1">
        <v>100</v>
      </c>
      <c r="E1406" s="2" t="s">
        <v>4290</v>
      </c>
      <c r="F1406" s="3">
        <v>1</v>
      </c>
      <c r="G1406" s="33">
        <v>32874</v>
      </c>
      <c r="H1406" s="31">
        <v>45017</v>
      </c>
      <c r="I1406" s="1"/>
      <c r="J1406" s="1"/>
      <c r="K1406" s="1"/>
      <c r="L1406" s="1"/>
      <c r="M1406" s="1"/>
      <c r="P1406" s="3"/>
      <c r="R1406" s="1"/>
      <c r="S1406" s="1"/>
    </row>
    <row r="1407" spans="1:19" x14ac:dyDescent="0.65">
      <c r="A1407" s="34">
        <v>1406</v>
      </c>
      <c r="B1407" s="3" t="s">
        <v>4291</v>
      </c>
      <c r="C1407" s="1" t="s">
        <v>4292</v>
      </c>
      <c r="D1407" s="1">
        <v>100</v>
      </c>
      <c r="E1407" s="2" t="s">
        <v>4293</v>
      </c>
      <c r="F1407" s="3">
        <v>1</v>
      </c>
      <c r="G1407" s="33">
        <v>32874</v>
      </c>
      <c r="H1407" s="31">
        <v>44958</v>
      </c>
      <c r="I1407" s="1"/>
      <c r="J1407" s="1"/>
      <c r="K1407" s="1"/>
      <c r="L1407" s="1"/>
      <c r="M1407" s="1"/>
      <c r="P1407" s="3"/>
      <c r="R1407" s="1"/>
      <c r="S1407" s="1"/>
    </row>
    <row r="1408" spans="1:19" x14ac:dyDescent="0.65">
      <c r="A1408" s="34">
        <v>1407</v>
      </c>
      <c r="B1408" s="3" t="s">
        <v>4294</v>
      </c>
      <c r="C1408" s="1" t="s">
        <v>4295</v>
      </c>
      <c r="D1408" s="1">
        <v>100</v>
      </c>
      <c r="E1408" s="2" t="s">
        <v>4296</v>
      </c>
      <c r="F1408" s="3">
        <v>1</v>
      </c>
      <c r="G1408" s="33">
        <v>32874</v>
      </c>
      <c r="H1408" s="31">
        <v>44958</v>
      </c>
      <c r="I1408" s="1"/>
      <c r="J1408" s="1"/>
      <c r="K1408" s="1"/>
      <c r="L1408" s="1"/>
      <c r="M1408" s="1"/>
      <c r="P1408" s="3"/>
      <c r="R1408" s="1"/>
      <c r="S1408" s="1"/>
    </row>
    <row r="1409" spans="1:19" x14ac:dyDescent="0.65">
      <c r="A1409" s="34">
        <v>1408</v>
      </c>
      <c r="B1409" s="3" t="s">
        <v>4297</v>
      </c>
      <c r="C1409" s="1" t="s">
        <v>4298</v>
      </c>
      <c r="D1409" s="1">
        <v>100</v>
      </c>
      <c r="E1409" s="2" t="s">
        <v>4299</v>
      </c>
      <c r="F1409" s="3">
        <v>1</v>
      </c>
      <c r="G1409" s="33">
        <v>32874</v>
      </c>
      <c r="H1409" s="31">
        <v>44958</v>
      </c>
      <c r="I1409" s="1"/>
      <c r="J1409" s="1"/>
      <c r="K1409" s="1"/>
      <c r="L1409" s="1"/>
      <c r="M1409" s="1"/>
      <c r="P1409" s="3"/>
      <c r="R1409" s="1"/>
      <c r="S1409" s="1"/>
    </row>
    <row r="1410" spans="1:19" x14ac:dyDescent="0.65">
      <c r="A1410" s="34">
        <v>1409</v>
      </c>
      <c r="B1410" s="3" t="s">
        <v>4300</v>
      </c>
      <c r="C1410" s="1" t="s">
        <v>4301</v>
      </c>
      <c r="D1410" s="1">
        <v>100</v>
      </c>
      <c r="E1410" s="2" t="s">
        <v>4302</v>
      </c>
      <c r="F1410" s="3">
        <v>1</v>
      </c>
      <c r="G1410" s="33">
        <v>32874</v>
      </c>
      <c r="H1410" s="31">
        <v>45170</v>
      </c>
      <c r="I1410" s="1"/>
      <c r="J1410" s="1"/>
      <c r="K1410" s="1"/>
      <c r="L1410" s="1"/>
      <c r="M1410" s="1"/>
      <c r="P1410" s="3"/>
      <c r="R1410" s="1"/>
      <c r="S1410" s="1"/>
    </row>
    <row r="1411" spans="1:19" x14ac:dyDescent="0.65">
      <c r="A1411" s="34">
        <v>1410</v>
      </c>
      <c r="B1411" s="3" t="s">
        <v>4303</v>
      </c>
      <c r="C1411" s="1" t="s">
        <v>4304</v>
      </c>
      <c r="D1411" s="1">
        <v>102</v>
      </c>
      <c r="E1411" s="2" t="s">
        <v>4305</v>
      </c>
      <c r="F1411" s="3">
        <v>1</v>
      </c>
      <c r="G1411" s="33">
        <v>32874</v>
      </c>
      <c r="H1411" s="31">
        <v>44518</v>
      </c>
      <c r="I1411" s="1"/>
      <c r="J1411" s="1"/>
      <c r="K1411" s="1"/>
      <c r="L1411" s="1"/>
      <c r="M1411" s="1"/>
      <c r="P1411" s="3"/>
      <c r="R1411" s="1"/>
      <c r="S1411" s="1"/>
    </row>
    <row r="1412" spans="1:19" x14ac:dyDescent="0.65">
      <c r="A1412" s="34">
        <v>1411</v>
      </c>
      <c r="B1412" s="3" t="s">
        <v>4306</v>
      </c>
      <c r="C1412" s="1" t="s">
        <v>4307</v>
      </c>
      <c r="D1412" s="1">
        <v>103</v>
      </c>
      <c r="E1412" s="2" t="s">
        <v>4308</v>
      </c>
      <c r="F1412" s="3">
        <v>1</v>
      </c>
      <c r="G1412" s="33">
        <v>32874</v>
      </c>
      <c r="H1412" s="31">
        <v>45159</v>
      </c>
      <c r="I1412" s="1"/>
      <c r="J1412" s="1"/>
      <c r="K1412" s="1"/>
      <c r="L1412" s="1"/>
      <c r="M1412" s="1"/>
      <c r="P1412" s="3"/>
      <c r="R1412" s="1"/>
      <c r="S1412" s="1"/>
    </row>
    <row r="1413" spans="1:19" x14ac:dyDescent="0.65">
      <c r="A1413" s="34">
        <v>1412</v>
      </c>
      <c r="B1413" s="3" t="s">
        <v>4310</v>
      </c>
      <c r="C1413" s="1" t="s">
        <v>4311</v>
      </c>
      <c r="D1413" s="1">
        <v>104</v>
      </c>
      <c r="E1413" s="2" t="s">
        <v>4312</v>
      </c>
      <c r="F1413" s="3">
        <v>1</v>
      </c>
      <c r="G1413" s="33">
        <v>32874</v>
      </c>
      <c r="H1413" s="31">
        <v>41712</v>
      </c>
      <c r="I1413" s="1"/>
      <c r="J1413" s="1"/>
      <c r="K1413" s="1"/>
      <c r="L1413" s="1"/>
      <c r="M1413" s="1"/>
      <c r="P1413" s="3"/>
      <c r="R1413" s="1"/>
      <c r="S1413" s="1"/>
    </row>
    <row r="1414" spans="1:19" x14ac:dyDescent="0.65">
      <c r="A1414" s="34">
        <v>1413</v>
      </c>
      <c r="B1414" s="3" t="s">
        <v>4314</v>
      </c>
      <c r="C1414" s="1" t="s">
        <v>4315</v>
      </c>
      <c r="D1414" s="1">
        <v>104</v>
      </c>
      <c r="E1414" s="2" t="s">
        <v>4316</v>
      </c>
      <c r="F1414" s="3">
        <v>1</v>
      </c>
      <c r="G1414" s="33">
        <v>32874</v>
      </c>
      <c r="H1414" s="31">
        <v>43711</v>
      </c>
      <c r="I1414" s="1"/>
      <c r="J1414" s="1"/>
      <c r="K1414" s="1"/>
      <c r="L1414" s="1"/>
      <c r="M1414" s="1"/>
      <c r="P1414" s="3"/>
      <c r="R1414" s="1"/>
      <c r="S1414" s="1"/>
    </row>
    <row r="1415" spans="1:19" x14ac:dyDescent="0.65">
      <c r="A1415" s="34">
        <v>1414</v>
      </c>
      <c r="B1415" s="3" t="s">
        <v>4317</v>
      </c>
      <c r="C1415" s="1" t="s">
        <v>4318</v>
      </c>
      <c r="D1415" s="1">
        <v>104</v>
      </c>
      <c r="E1415" s="2" t="s">
        <v>4319</v>
      </c>
      <c r="F1415" s="3">
        <v>1</v>
      </c>
      <c r="G1415" s="33">
        <v>32874</v>
      </c>
      <c r="H1415" s="31">
        <v>43553</v>
      </c>
      <c r="I1415" s="1"/>
      <c r="J1415" s="1"/>
      <c r="K1415" s="1"/>
      <c r="L1415" s="1"/>
      <c r="M1415" s="1"/>
      <c r="P1415" s="3"/>
      <c r="R1415" s="1"/>
      <c r="S1415" s="1"/>
    </row>
    <row r="1416" spans="1:19" x14ac:dyDescent="0.65">
      <c r="A1416" s="34">
        <v>1415</v>
      </c>
      <c r="B1416" s="3" t="s">
        <v>4320</v>
      </c>
      <c r="C1416" s="1" t="s">
        <v>4321</v>
      </c>
      <c r="D1416" s="1">
        <v>104</v>
      </c>
      <c r="E1416" s="2" t="s">
        <v>4322</v>
      </c>
      <c r="F1416" s="3">
        <v>1</v>
      </c>
      <c r="G1416" s="33">
        <v>32874</v>
      </c>
      <c r="H1416" s="31">
        <v>44522</v>
      </c>
      <c r="I1416" s="1"/>
      <c r="J1416" s="1"/>
      <c r="K1416" s="1"/>
      <c r="L1416" s="1"/>
      <c r="M1416" s="1"/>
      <c r="P1416" s="3"/>
      <c r="R1416" s="1"/>
      <c r="S1416" s="1"/>
    </row>
  </sheetData>
  <phoneticPr fontId="1"/>
  <hyperlinks>
    <hyperlink ref="E571" r:id="rId1" xr:uid="{03954DA3-2A04-4DCB-98FA-3DD79BD32202}"/>
    <hyperlink ref="E1309" r:id="rId2" xr:uid="{5069AE21-CDFB-4AA9-B428-9B14096ADBDC}"/>
    <hyperlink ref="E589" r:id="rId3" xr:uid="{B4EB447F-B1ED-4261-AFA6-0EE0F9197E99}"/>
    <hyperlink ref="E631" r:id="rId4" xr:uid="{23B29D6A-CE28-4484-B621-2673DD035F58}"/>
    <hyperlink ref="E630" r:id="rId5" xr:uid="{E2A1F1EE-20A0-4989-B734-F0743F1425E2}"/>
    <hyperlink ref="E629" r:id="rId6" xr:uid="{16039FFE-D1AA-45AD-9764-C330B3AFE4CC}"/>
    <hyperlink ref="E628" r:id="rId7" xr:uid="{10AA9CDF-831C-4DF2-BBCB-4A9342020E08}"/>
    <hyperlink ref="E626" r:id="rId8" xr:uid="{F155A38D-E59F-4A80-9409-1A98A749ECF3}"/>
    <hyperlink ref="E625" r:id="rId9" xr:uid="{D32D06C8-A022-4F79-B25F-9DE0161E8C2C}"/>
    <hyperlink ref="E624" r:id="rId10" xr:uid="{B18E977A-2FDF-4A24-BBE6-DB54359F4355}"/>
    <hyperlink ref="E623" r:id="rId11" xr:uid="{19E5998D-EC90-4248-81EC-96CA1CBD221D}"/>
    <hyperlink ref="E622" r:id="rId12" xr:uid="{070CD7FD-C336-43C9-A3FD-7A4D98746B8E}"/>
    <hyperlink ref="E621" r:id="rId13" xr:uid="{92218CBE-0499-4C59-8550-40912B3E513C}"/>
    <hyperlink ref="E620" r:id="rId14" xr:uid="{E05100F7-7B6C-49A8-B582-F2BFC3631D74}"/>
    <hyperlink ref="E613" r:id="rId15" xr:uid="{6F169A8B-521E-4D5B-AFFD-A65D87A6F2A5}"/>
    <hyperlink ref="E619" r:id="rId16" xr:uid="{6E2A8A36-2B2F-4B20-AB41-4169104B685F}"/>
    <hyperlink ref="E618" r:id="rId17" xr:uid="{410AF19F-91BF-4D9B-ADD7-105E9BD38D65}"/>
    <hyperlink ref="E593" r:id="rId18" xr:uid="{50D461CC-BFB7-4520-8A03-99B00F7A229A}"/>
    <hyperlink ref="E592" r:id="rId19" xr:uid="{7B573260-F85D-4F75-95E8-9F99F4C8B6E1}"/>
    <hyperlink ref="E591" r:id="rId20" xr:uid="{1C40F15C-37B9-429E-9E83-053D8924A580}"/>
    <hyperlink ref="E590" r:id="rId21" xr:uid="{698673BD-E9AA-4562-889C-D203786ED111}"/>
    <hyperlink ref="E585" r:id="rId22" xr:uid="{7C52DDA2-8739-4DE8-AE01-33F35DBB9877}"/>
    <hyperlink ref="E584" r:id="rId23" xr:uid="{8F33E9B0-B384-4A94-8404-E12DD47E11C4}"/>
    <hyperlink ref="E583" r:id="rId24" xr:uid="{DA239A8A-1B0B-4FA1-AD89-0FA34E5E3E3E}"/>
    <hyperlink ref="E569" r:id="rId25" xr:uid="{DA1BBE11-D539-4C25-9040-A5F963119229}"/>
    <hyperlink ref="E570" r:id="rId26" xr:uid="{2AD735FA-D32A-417D-9E2F-D395789D10F3}"/>
  </hyperlinks>
  <pageMargins left="0.7" right="0.7" top="0.75" bottom="0.75" header="0.3" footer="0.3"/>
  <tableParts count="1">
    <tablePart r:id="rId2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8921-97C0-46FB-A7A4-818AC5F3966F}">
  <dimension ref="A1:G51"/>
  <sheetViews>
    <sheetView workbookViewId="0">
      <selection activeCell="D1" sqref="D1:D1048576"/>
    </sheetView>
  </sheetViews>
  <sheetFormatPr defaultRowHeight="14.7" x14ac:dyDescent="0.65"/>
  <cols>
    <col min="1" max="1" width="15.33203125" bestFit="1" customWidth="1"/>
    <col min="2" max="2" width="15.6640625" bestFit="1" customWidth="1"/>
    <col min="3" max="3" width="14.6640625" bestFit="1" customWidth="1"/>
    <col min="4" max="4" width="11.609375" style="6" bestFit="1" customWidth="1"/>
    <col min="5" max="5" width="22.88671875" style="6" customWidth="1"/>
    <col min="6" max="6" width="9.33203125" bestFit="1" customWidth="1"/>
    <col min="8" max="8" width="14.6640625" bestFit="1" customWidth="1"/>
    <col min="12" max="12" width="9.33203125" bestFit="1" customWidth="1"/>
  </cols>
  <sheetData>
    <row r="1" spans="1:7" x14ac:dyDescent="0.65">
      <c r="A1" t="s">
        <v>31</v>
      </c>
      <c r="B1" s="6" t="s">
        <v>32</v>
      </c>
      <c r="C1" s="6" t="s">
        <v>34</v>
      </c>
      <c r="D1" s="7" t="s">
        <v>4414</v>
      </c>
    </row>
    <row r="2" spans="1:7" x14ac:dyDescent="0.65">
      <c r="A2" s="36">
        <v>1</v>
      </c>
      <c r="B2" s="37" t="s">
        <v>4415</v>
      </c>
      <c r="C2" s="37" t="s">
        <v>43</v>
      </c>
      <c r="D2" s="38" t="s">
        <v>4417</v>
      </c>
    </row>
    <row r="3" spans="1:7" x14ac:dyDescent="0.65">
      <c r="A3" s="36">
        <v>2</v>
      </c>
      <c r="B3" s="37" t="s">
        <v>4416</v>
      </c>
      <c r="C3" s="37" t="s">
        <v>1776</v>
      </c>
      <c r="D3" s="38" t="s">
        <v>4418</v>
      </c>
    </row>
    <row r="4" spans="1:7" x14ac:dyDescent="0.65">
      <c r="A4" s="36">
        <v>3</v>
      </c>
      <c r="B4" s="37" t="s">
        <v>4323</v>
      </c>
      <c r="C4" s="37" t="s">
        <v>1966</v>
      </c>
      <c r="D4" s="38" t="s">
        <v>4419</v>
      </c>
      <c r="F4" s="26"/>
    </row>
    <row r="5" spans="1:7" x14ac:dyDescent="0.65">
      <c r="A5" s="36">
        <v>4</v>
      </c>
      <c r="B5" s="37" t="s">
        <v>4324</v>
      </c>
      <c r="C5" s="37" t="s">
        <v>2247</v>
      </c>
      <c r="D5" s="38" t="s">
        <v>4420</v>
      </c>
      <c r="F5" s="26"/>
    </row>
    <row r="6" spans="1:7" x14ac:dyDescent="0.65">
      <c r="A6" s="36">
        <v>5</v>
      </c>
      <c r="B6" s="37" t="s">
        <v>4325</v>
      </c>
      <c r="C6" s="37" t="s">
        <v>2413</v>
      </c>
      <c r="D6" s="38" t="s">
        <v>4421</v>
      </c>
      <c r="F6" s="26"/>
    </row>
    <row r="7" spans="1:7" x14ac:dyDescent="0.65">
      <c r="A7" s="36">
        <v>6</v>
      </c>
      <c r="B7" s="37" t="s">
        <v>4326</v>
      </c>
      <c r="C7" s="37" t="s">
        <v>3992</v>
      </c>
      <c r="D7" s="38" t="s">
        <v>4422</v>
      </c>
      <c r="F7" s="26"/>
    </row>
    <row r="8" spans="1:7" x14ac:dyDescent="0.65">
      <c r="F8" s="26"/>
    </row>
    <row r="9" spans="1:7" x14ac:dyDescent="0.65">
      <c r="F9" s="26"/>
    </row>
    <row r="10" spans="1:7" x14ac:dyDescent="0.65">
      <c r="C10" s="26"/>
      <c r="F10" s="26"/>
    </row>
    <row r="11" spans="1:7" x14ac:dyDescent="0.65">
      <c r="C11" s="26"/>
      <c r="F11" s="26"/>
    </row>
    <row r="13" spans="1:7" x14ac:dyDescent="0.65">
      <c r="G13" s="27"/>
    </row>
    <row r="14" spans="1:7" x14ac:dyDescent="0.65">
      <c r="G14" s="27"/>
    </row>
    <row r="15" spans="1:7" x14ac:dyDescent="0.65">
      <c r="G15" s="27"/>
    </row>
    <row r="16" spans="1:7" x14ac:dyDescent="0.65">
      <c r="G16" s="27"/>
    </row>
    <row r="17" spans="7:7" x14ac:dyDescent="0.65">
      <c r="G17" s="27"/>
    </row>
    <row r="18" spans="7:7" x14ac:dyDescent="0.65">
      <c r="G18" s="27"/>
    </row>
    <row r="19" spans="7:7" x14ac:dyDescent="0.65">
      <c r="G19" s="27"/>
    </row>
    <row r="20" spans="7:7" x14ac:dyDescent="0.65">
      <c r="G20" s="27"/>
    </row>
    <row r="21" spans="7:7" x14ac:dyDescent="0.65">
      <c r="G21" s="27"/>
    </row>
    <row r="22" spans="7:7" x14ac:dyDescent="0.65">
      <c r="G22" s="27"/>
    </row>
    <row r="23" spans="7:7" x14ac:dyDescent="0.65">
      <c r="G23" s="27"/>
    </row>
    <row r="24" spans="7:7" x14ac:dyDescent="0.65">
      <c r="G24" s="27"/>
    </row>
    <row r="25" spans="7:7" x14ac:dyDescent="0.65">
      <c r="G25" s="27"/>
    </row>
    <row r="26" spans="7:7" x14ac:dyDescent="0.65">
      <c r="G26" s="27"/>
    </row>
    <row r="27" spans="7:7" x14ac:dyDescent="0.65">
      <c r="G27" s="27"/>
    </row>
    <row r="28" spans="7:7" x14ac:dyDescent="0.65">
      <c r="G28" s="27"/>
    </row>
    <row r="29" spans="7:7" x14ac:dyDescent="0.65">
      <c r="G29" s="27"/>
    </row>
    <row r="30" spans="7:7" x14ac:dyDescent="0.65">
      <c r="G30" s="27"/>
    </row>
    <row r="31" spans="7:7" x14ac:dyDescent="0.65">
      <c r="G31" s="27"/>
    </row>
    <row r="32" spans="7:7" x14ac:dyDescent="0.65">
      <c r="G32" s="27"/>
    </row>
    <row r="33" spans="7:7" x14ac:dyDescent="0.65">
      <c r="G33" s="27"/>
    </row>
    <row r="34" spans="7:7" x14ac:dyDescent="0.65">
      <c r="G34" s="27"/>
    </row>
    <row r="35" spans="7:7" x14ac:dyDescent="0.65">
      <c r="G35" s="27"/>
    </row>
    <row r="36" spans="7:7" x14ac:dyDescent="0.65">
      <c r="G36" s="27"/>
    </row>
    <row r="37" spans="7:7" x14ac:dyDescent="0.65">
      <c r="G37" s="27"/>
    </row>
    <row r="38" spans="7:7" x14ac:dyDescent="0.65">
      <c r="G38" s="27"/>
    </row>
    <row r="39" spans="7:7" x14ac:dyDescent="0.65">
      <c r="G39" s="27"/>
    </row>
    <row r="40" spans="7:7" x14ac:dyDescent="0.65">
      <c r="G40" s="27"/>
    </row>
    <row r="41" spans="7:7" x14ac:dyDescent="0.65">
      <c r="G41" s="27"/>
    </row>
    <row r="42" spans="7:7" x14ac:dyDescent="0.65">
      <c r="G42" s="27"/>
    </row>
    <row r="43" spans="7:7" x14ac:dyDescent="0.65">
      <c r="G43" s="27"/>
    </row>
    <row r="44" spans="7:7" x14ac:dyDescent="0.65">
      <c r="G44" s="27"/>
    </row>
    <row r="45" spans="7:7" x14ac:dyDescent="0.65">
      <c r="G45" s="27"/>
    </row>
    <row r="46" spans="7:7" x14ac:dyDescent="0.65">
      <c r="G46" s="27"/>
    </row>
    <row r="47" spans="7:7" x14ac:dyDescent="0.65">
      <c r="G47" s="27"/>
    </row>
    <row r="48" spans="7:7" x14ac:dyDescent="0.65">
      <c r="G48" s="27"/>
    </row>
    <row r="49" spans="7:7" x14ac:dyDescent="0.65">
      <c r="G49" s="27"/>
    </row>
    <row r="50" spans="7:7" x14ac:dyDescent="0.65">
      <c r="G50" s="27"/>
    </row>
    <row r="51" spans="7:7" x14ac:dyDescent="0.65">
      <c r="G51" s="27"/>
    </row>
  </sheetData>
  <phoneticPr fontId="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EB846-730E-4C21-BADB-AC1221925892}">
  <dimension ref="A1:F40"/>
  <sheetViews>
    <sheetView workbookViewId="0">
      <selection activeCell="B7" sqref="B7"/>
    </sheetView>
  </sheetViews>
  <sheetFormatPr defaultRowHeight="14.7" x14ac:dyDescent="0.65"/>
  <cols>
    <col min="1" max="1" width="15.44140625" customWidth="1"/>
    <col min="2" max="2" width="29.33203125" bestFit="1" customWidth="1"/>
    <col min="3" max="3" width="49.88671875" customWidth="1"/>
    <col min="4" max="4" width="15.33203125" bestFit="1" customWidth="1"/>
    <col min="5" max="5" width="11.1640625" style="6" bestFit="1" customWidth="1"/>
  </cols>
  <sheetData>
    <row r="1" spans="1:6" x14ac:dyDescent="0.65">
      <c r="A1" t="s">
        <v>37</v>
      </c>
      <c r="B1" s="6" t="s">
        <v>32</v>
      </c>
      <c r="C1" s="6" t="s">
        <v>34</v>
      </c>
      <c r="D1" t="s">
        <v>31</v>
      </c>
      <c r="E1" s="6" t="s">
        <v>4414</v>
      </c>
    </row>
    <row r="2" spans="1:6" x14ac:dyDescent="0.65">
      <c r="A2" s="27">
        <v>1</v>
      </c>
      <c r="B2" s="6" t="s">
        <v>4327</v>
      </c>
      <c r="C2" s="6" t="s">
        <v>44</v>
      </c>
      <c r="D2">
        <v>1</v>
      </c>
      <c r="E2" s="6" t="s">
        <v>4463</v>
      </c>
      <c r="F2" s="27" t="str">
        <f>TEXT(tbl_cat_major[[#This Row],[key_cat_major]],"")</f>
        <v/>
      </c>
    </row>
    <row r="3" spans="1:6" x14ac:dyDescent="0.65">
      <c r="A3" s="27">
        <v>2</v>
      </c>
      <c r="B3" s="6" t="s">
        <v>4328</v>
      </c>
      <c r="C3" s="6" t="s">
        <v>76</v>
      </c>
      <c r="D3">
        <v>1</v>
      </c>
      <c r="E3" s="6" t="s">
        <v>4464</v>
      </c>
      <c r="F3" s="27" t="str">
        <f>TEXT(tbl_cat_major[[#This Row],[key_cat_major]],"")</f>
        <v/>
      </c>
    </row>
    <row r="4" spans="1:6" x14ac:dyDescent="0.65">
      <c r="A4" s="27">
        <v>3</v>
      </c>
      <c r="B4" s="6" t="s">
        <v>4329</v>
      </c>
      <c r="C4" s="6" t="s">
        <v>1140</v>
      </c>
      <c r="D4">
        <v>1</v>
      </c>
      <c r="E4" s="6" t="s">
        <v>4465</v>
      </c>
      <c r="F4" s="27" t="str">
        <f>TEXT(tbl_cat_major[[#This Row],[key_cat_major]],"")</f>
        <v/>
      </c>
    </row>
    <row r="5" spans="1:6" x14ac:dyDescent="0.65">
      <c r="A5" s="27">
        <v>4</v>
      </c>
      <c r="B5" s="6" t="s">
        <v>4330</v>
      </c>
      <c r="C5" s="6" t="s">
        <v>1777</v>
      </c>
      <c r="D5">
        <v>2</v>
      </c>
      <c r="E5" s="6" t="s">
        <v>4427</v>
      </c>
      <c r="F5" s="27" t="str">
        <f>TEXT(tbl_cat_major[[#This Row],[key_cat_major]],"")</f>
        <v/>
      </c>
    </row>
    <row r="6" spans="1:6" x14ac:dyDescent="0.65">
      <c r="A6" s="27">
        <v>5</v>
      </c>
      <c r="B6" s="6" t="s">
        <v>4331</v>
      </c>
      <c r="C6" s="6" t="s">
        <v>1800</v>
      </c>
      <c r="D6">
        <v>2</v>
      </c>
      <c r="E6" s="6" t="s">
        <v>4466</v>
      </c>
      <c r="F6" s="27" t="str">
        <f>TEXT(tbl_cat_major[[#This Row],[key_cat_major]],"")</f>
        <v/>
      </c>
    </row>
    <row r="7" spans="1:6" x14ac:dyDescent="0.65">
      <c r="A7" s="27">
        <v>6</v>
      </c>
      <c r="B7" s="6" t="s">
        <v>4332</v>
      </c>
      <c r="C7" s="6" t="s">
        <v>4333</v>
      </c>
      <c r="D7">
        <v>2</v>
      </c>
      <c r="E7" s="6" t="s">
        <v>4467</v>
      </c>
      <c r="F7" s="27" t="str">
        <f>TEXT(tbl_cat_major[[#This Row],[key_cat_major]],"")</f>
        <v/>
      </c>
    </row>
    <row r="8" spans="1:6" x14ac:dyDescent="0.65">
      <c r="A8" s="27">
        <v>7</v>
      </c>
      <c r="B8" s="6" t="s">
        <v>4334</v>
      </c>
      <c r="C8" s="6" t="s">
        <v>1849</v>
      </c>
      <c r="D8">
        <v>2</v>
      </c>
      <c r="E8" s="6" t="s">
        <v>4468</v>
      </c>
      <c r="F8" s="27" t="str">
        <f>TEXT(tbl_cat_major[[#This Row],[key_cat_major]],"")</f>
        <v/>
      </c>
    </row>
    <row r="9" spans="1:6" x14ac:dyDescent="0.65">
      <c r="A9" s="27">
        <v>8</v>
      </c>
      <c r="B9" s="6" t="s">
        <v>1941</v>
      </c>
      <c r="C9" s="6" t="s">
        <v>1941</v>
      </c>
      <c r="D9">
        <v>2</v>
      </c>
      <c r="E9" s="6" t="s">
        <v>4469</v>
      </c>
      <c r="F9" s="27" t="str">
        <f>TEXT(tbl_cat_major[[#This Row],[key_cat_major]],"")</f>
        <v/>
      </c>
    </row>
    <row r="10" spans="1:6" x14ac:dyDescent="0.65">
      <c r="A10" s="27">
        <v>9</v>
      </c>
      <c r="B10" s="6" t="s">
        <v>4335</v>
      </c>
      <c r="C10" s="6" t="s">
        <v>1945</v>
      </c>
      <c r="D10">
        <v>2</v>
      </c>
      <c r="E10" s="6" t="s">
        <v>4470</v>
      </c>
      <c r="F10" s="27" t="str">
        <f>TEXT(tbl_cat_major[[#This Row],[key_cat_major]],"")</f>
        <v/>
      </c>
    </row>
    <row r="11" spans="1:6" x14ac:dyDescent="0.65">
      <c r="A11" s="27">
        <v>10</v>
      </c>
      <c r="B11" s="6" t="s">
        <v>4336</v>
      </c>
      <c r="C11" s="6" t="s">
        <v>1949</v>
      </c>
      <c r="D11">
        <v>2</v>
      </c>
      <c r="E11" s="6" t="s">
        <v>4471</v>
      </c>
      <c r="F11" s="27" t="str">
        <f>TEXT(tbl_cat_major[[#This Row],[key_cat_major]],"")</f>
        <v/>
      </c>
    </row>
    <row r="12" spans="1:6" x14ac:dyDescent="0.65">
      <c r="A12" s="27">
        <v>11</v>
      </c>
      <c r="B12" s="6" t="s">
        <v>4337</v>
      </c>
      <c r="C12" s="6" t="s">
        <v>1959</v>
      </c>
      <c r="D12">
        <v>2</v>
      </c>
      <c r="E12" s="6" t="s">
        <v>4472</v>
      </c>
      <c r="F12" s="27" t="str">
        <f>TEXT(tbl_cat_major[[#This Row],[key_cat_major]],"")</f>
        <v/>
      </c>
    </row>
    <row r="13" spans="1:6" x14ac:dyDescent="0.65">
      <c r="A13" s="27">
        <v>12</v>
      </c>
      <c r="B13" s="6" t="s">
        <v>4338</v>
      </c>
      <c r="C13" s="6" t="s">
        <v>4338</v>
      </c>
      <c r="D13">
        <v>2</v>
      </c>
      <c r="E13" s="6" t="s">
        <v>4473</v>
      </c>
      <c r="F13" s="27" t="str">
        <f>TEXT(tbl_cat_major[[#This Row],[key_cat_major]],"")</f>
        <v/>
      </c>
    </row>
    <row r="14" spans="1:6" x14ac:dyDescent="0.65">
      <c r="A14" s="27">
        <v>13</v>
      </c>
      <c r="B14" s="6" t="s">
        <v>1967</v>
      </c>
      <c r="C14" s="6" t="s">
        <v>1967</v>
      </c>
      <c r="D14">
        <v>3</v>
      </c>
      <c r="E14" s="6" t="s">
        <v>4474</v>
      </c>
      <c r="F14" s="27" t="str">
        <f>TEXT(tbl_cat_major[[#This Row],[key_cat_major]],"")</f>
        <v/>
      </c>
    </row>
    <row r="15" spans="1:6" x14ac:dyDescent="0.65">
      <c r="A15" s="27">
        <v>14</v>
      </c>
      <c r="B15" s="6" t="s">
        <v>4343</v>
      </c>
      <c r="C15" s="6" t="s">
        <v>2300</v>
      </c>
      <c r="D15">
        <v>3</v>
      </c>
      <c r="E15" s="6" t="s">
        <v>4475</v>
      </c>
      <c r="F15" s="27" t="str">
        <f>TEXT(tbl_cat_major[[#This Row],[key_cat_major]],"")</f>
        <v/>
      </c>
    </row>
    <row r="16" spans="1:6" x14ac:dyDescent="0.65">
      <c r="A16" s="27">
        <v>15</v>
      </c>
      <c r="B16" s="6" t="s">
        <v>4330</v>
      </c>
      <c r="C16" s="6" t="s">
        <v>1777</v>
      </c>
      <c r="D16">
        <v>4</v>
      </c>
      <c r="E16" s="6" t="s">
        <v>4427</v>
      </c>
      <c r="F16" s="27" t="str">
        <f>TEXT(tbl_cat_major[[#This Row],[key_cat_major]],"")</f>
        <v/>
      </c>
    </row>
    <row r="17" spans="1:6" x14ac:dyDescent="0.65">
      <c r="A17" s="27">
        <v>16</v>
      </c>
      <c r="B17" s="6" t="s">
        <v>4339</v>
      </c>
      <c r="C17" s="6" t="s">
        <v>2266</v>
      </c>
      <c r="D17">
        <v>4</v>
      </c>
      <c r="E17" s="6" t="s">
        <v>4476</v>
      </c>
      <c r="F17" s="27" t="str">
        <f>TEXT(tbl_cat_major[[#This Row],[key_cat_major]],"")</f>
        <v/>
      </c>
    </row>
    <row r="18" spans="1:6" x14ac:dyDescent="0.65">
      <c r="A18" s="27">
        <v>17</v>
      </c>
      <c r="B18" s="6" t="s">
        <v>4340</v>
      </c>
      <c r="C18" s="6" t="s">
        <v>2273</v>
      </c>
      <c r="D18">
        <v>4</v>
      </c>
      <c r="E18" s="6" t="s">
        <v>4477</v>
      </c>
      <c r="F18" s="27" t="str">
        <f>TEXT(tbl_cat_major[[#This Row],[key_cat_major]],"")</f>
        <v/>
      </c>
    </row>
    <row r="19" spans="1:6" x14ac:dyDescent="0.65">
      <c r="A19" s="27">
        <v>18</v>
      </c>
      <c r="B19" s="6" t="s">
        <v>4341</v>
      </c>
      <c r="C19" s="6" t="s">
        <v>2283</v>
      </c>
      <c r="D19">
        <v>4</v>
      </c>
      <c r="E19" s="6" t="s">
        <v>4478</v>
      </c>
      <c r="F19" s="27" t="str">
        <f>TEXT(tbl_cat_major[[#This Row],[key_cat_major]],"")</f>
        <v/>
      </c>
    </row>
    <row r="20" spans="1:6" x14ac:dyDescent="0.65">
      <c r="A20" s="27">
        <v>19</v>
      </c>
      <c r="B20" s="6" t="s">
        <v>4342</v>
      </c>
      <c r="C20" s="6" t="s">
        <v>2290</v>
      </c>
      <c r="D20">
        <v>4</v>
      </c>
      <c r="E20" s="6" t="s">
        <v>4479</v>
      </c>
      <c r="F20" s="27" t="str">
        <f>TEXT(tbl_cat_major[[#This Row],[key_cat_major]],"")</f>
        <v/>
      </c>
    </row>
    <row r="21" spans="1:6" x14ac:dyDescent="0.65">
      <c r="A21" s="27">
        <v>20</v>
      </c>
      <c r="B21" s="6" t="s">
        <v>4344</v>
      </c>
      <c r="C21" s="6" t="s">
        <v>2414</v>
      </c>
      <c r="D21">
        <v>5</v>
      </c>
      <c r="E21" s="6" t="s">
        <v>4480</v>
      </c>
      <c r="F21" s="27" t="str">
        <f>TEXT(tbl_cat_major[[#This Row],[key_cat_major]],"")</f>
        <v/>
      </c>
    </row>
    <row r="22" spans="1:6" x14ac:dyDescent="0.65">
      <c r="A22" s="27">
        <v>21</v>
      </c>
      <c r="B22" s="6" t="s">
        <v>4345</v>
      </c>
      <c r="C22" s="6" t="s">
        <v>2418</v>
      </c>
      <c r="D22">
        <v>5</v>
      </c>
      <c r="E22" s="6" t="s">
        <v>4481</v>
      </c>
      <c r="F22" s="27" t="str">
        <f>TEXT(tbl_cat_major[[#This Row],[key_cat_major]],"")</f>
        <v/>
      </c>
    </row>
    <row r="23" spans="1:6" x14ac:dyDescent="0.65">
      <c r="A23" s="27">
        <v>22</v>
      </c>
      <c r="B23" s="6" t="s">
        <v>4346</v>
      </c>
      <c r="C23" s="6" t="s">
        <v>2440</v>
      </c>
      <c r="D23">
        <v>5</v>
      </c>
      <c r="E23" s="6" t="s">
        <v>4482</v>
      </c>
      <c r="F23" s="27" t="str">
        <f>TEXT(tbl_cat_major[[#This Row],[key_cat_major]],"")</f>
        <v/>
      </c>
    </row>
    <row r="24" spans="1:6" x14ac:dyDescent="0.65">
      <c r="A24" s="27">
        <v>23</v>
      </c>
      <c r="B24" s="6" t="s">
        <v>4347</v>
      </c>
      <c r="C24" s="6" t="s">
        <v>2779</v>
      </c>
      <c r="D24">
        <v>5</v>
      </c>
      <c r="E24" s="6" t="s">
        <v>4483</v>
      </c>
      <c r="F24" s="27" t="str">
        <f>TEXT(tbl_cat_major[[#This Row],[key_cat_major]],"")</f>
        <v/>
      </c>
    </row>
    <row r="25" spans="1:6" x14ac:dyDescent="0.65">
      <c r="A25" s="27">
        <v>24</v>
      </c>
      <c r="B25" s="6" t="s">
        <v>4348</v>
      </c>
      <c r="C25" s="6" t="s">
        <v>3195</v>
      </c>
      <c r="D25">
        <v>5</v>
      </c>
      <c r="E25" s="6" t="s">
        <v>4484</v>
      </c>
      <c r="F25" s="27" t="str">
        <f>TEXT(tbl_cat_major[[#This Row],[key_cat_major]],"")</f>
        <v/>
      </c>
    </row>
    <row r="26" spans="1:6" x14ac:dyDescent="0.65">
      <c r="A26" s="27">
        <v>25</v>
      </c>
      <c r="B26" s="6" t="s">
        <v>4349</v>
      </c>
      <c r="C26" s="6" t="s">
        <v>3409</v>
      </c>
      <c r="D26">
        <v>5</v>
      </c>
      <c r="E26" s="6" t="s">
        <v>4485</v>
      </c>
      <c r="F26" s="27" t="str">
        <f>TEXT(tbl_cat_major[[#This Row],[key_cat_major]],"")</f>
        <v/>
      </c>
    </row>
    <row r="27" spans="1:6" x14ac:dyDescent="0.65">
      <c r="A27" s="27">
        <v>26</v>
      </c>
      <c r="B27" s="6" t="s">
        <v>4350</v>
      </c>
      <c r="C27" s="6" t="s">
        <v>3568</v>
      </c>
      <c r="D27">
        <v>5</v>
      </c>
      <c r="E27" s="6" t="s">
        <v>4486</v>
      </c>
      <c r="F27" s="27" t="str">
        <f>TEXT(tbl_cat_major[[#This Row],[key_cat_major]],"")</f>
        <v/>
      </c>
    </row>
    <row r="28" spans="1:6" x14ac:dyDescent="0.65">
      <c r="A28" s="27">
        <v>27</v>
      </c>
      <c r="B28" s="6" t="s">
        <v>4351</v>
      </c>
      <c r="C28" s="6" t="s">
        <v>881</v>
      </c>
      <c r="D28">
        <v>5</v>
      </c>
      <c r="E28" s="6" t="s">
        <v>4423</v>
      </c>
      <c r="F28" s="27" t="str">
        <f>TEXT(tbl_cat_major[[#This Row],[key_cat_major]],"")</f>
        <v/>
      </c>
    </row>
    <row r="29" spans="1:6" x14ac:dyDescent="0.65">
      <c r="A29" s="27">
        <v>28</v>
      </c>
      <c r="B29" s="6" t="s">
        <v>4352</v>
      </c>
      <c r="C29" s="6" t="s">
        <v>3954</v>
      </c>
      <c r="D29">
        <v>5</v>
      </c>
      <c r="E29" s="6" t="s">
        <v>4487</v>
      </c>
      <c r="F29" s="27" t="str">
        <f>TEXT(tbl_cat_major[[#This Row],[key_cat_major]],"")</f>
        <v/>
      </c>
    </row>
    <row r="30" spans="1:6" x14ac:dyDescent="0.65">
      <c r="A30" s="27">
        <v>29</v>
      </c>
      <c r="B30" s="6" t="s">
        <v>4353</v>
      </c>
      <c r="C30" s="6" t="s">
        <v>484</v>
      </c>
      <c r="D30">
        <v>5</v>
      </c>
      <c r="E30" s="6" t="s">
        <v>4453</v>
      </c>
      <c r="F30" s="27" t="str">
        <f>TEXT(tbl_cat_major[[#This Row],[key_cat_major]],"")</f>
        <v/>
      </c>
    </row>
    <row r="31" spans="1:6" x14ac:dyDescent="0.65">
      <c r="A31" s="27">
        <v>30</v>
      </c>
      <c r="B31" s="6" t="s">
        <v>4354</v>
      </c>
      <c r="C31" s="6" t="s">
        <v>720</v>
      </c>
      <c r="D31">
        <v>5</v>
      </c>
      <c r="E31" s="6" t="s">
        <v>4455</v>
      </c>
      <c r="F31" s="27" t="str">
        <f>TEXT(tbl_cat_major[[#This Row],[key_cat_major]],"")</f>
        <v/>
      </c>
    </row>
    <row r="32" spans="1:6" x14ac:dyDescent="0.65">
      <c r="A32" s="27">
        <v>31</v>
      </c>
      <c r="B32" s="6" t="s">
        <v>4355</v>
      </c>
      <c r="C32" s="6" t="s">
        <v>3982</v>
      </c>
      <c r="D32">
        <v>5</v>
      </c>
      <c r="E32" s="6" t="s">
        <v>4488</v>
      </c>
      <c r="F32" s="27" t="str">
        <f>TEXT(tbl_cat_major[[#This Row],[key_cat_major]],"")</f>
        <v/>
      </c>
    </row>
    <row r="33" spans="1:6" x14ac:dyDescent="0.65">
      <c r="A33" s="27">
        <v>32</v>
      </c>
      <c r="B33" s="6" t="s">
        <v>4356</v>
      </c>
      <c r="C33" s="6" t="s">
        <v>3993</v>
      </c>
      <c r="D33">
        <v>6</v>
      </c>
      <c r="E33" s="6" t="s">
        <v>4489</v>
      </c>
      <c r="F33" s="27" t="str">
        <f>TEXT(tbl_cat_major[[#This Row],[key_cat_major]],"")</f>
        <v/>
      </c>
    </row>
    <row r="34" spans="1:6" x14ac:dyDescent="0.65">
      <c r="A34" s="27">
        <v>33</v>
      </c>
      <c r="B34" s="6" t="s">
        <v>4357</v>
      </c>
      <c r="C34" s="6" t="s">
        <v>4149</v>
      </c>
      <c r="D34">
        <v>6</v>
      </c>
      <c r="E34" s="6" t="s">
        <v>4490</v>
      </c>
      <c r="F34" s="27" t="str">
        <f>TEXT(tbl_cat_major[[#This Row],[key_cat_major]],"")</f>
        <v/>
      </c>
    </row>
    <row r="35" spans="1:6" x14ac:dyDescent="0.65">
      <c r="A35" s="27">
        <v>34</v>
      </c>
      <c r="B35" s="6" t="s">
        <v>4358</v>
      </c>
      <c r="C35" s="6" t="s">
        <v>4153</v>
      </c>
      <c r="D35">
        <v>6</v>
      </c>
      <c r="E35" s="6" t="s">
        <v>4491</v>
      </c>
      <c r="F35" s="27" t="str">
        <f>TEXT(tbl_cat_major[[#This Row],[key_cat_major]],"")</f>
        <v/>
      </c>
    </row>
    <row r="36" spans="1:6" x14ac:dyDescent="0.65">
      <c r="A36" s="27">
        <v>35</v>
      </c>
      <c r="B36" s="6" t="s">
        <v>4359</v>
      </c>
      <c r="C36" s="6" t="s">
        <v>4157</v>
      </c>
      <c r="D36">
        <v>6</v>
      </c>
      <c r="E36" s="6" t="s">
        <v>4492</v>
      </c>
      <c r="F36" s="27" t="str">
        <f>TEXT(tbl_cat_major[[#This Row],[key_cat_major]],"")</f>
        <v/>
      </c>
    </row>
    <row r="37" spans="1:6" x14ac:dyDescent="0.65">
      <c r="A37" s="27">
        <v>36</v>
      </c>
      <c r="B37" s="6" t="s">
        <v>4360</v>
      </c>
      <c r="C37" s="6" t="s">
        <v>4278</v>
      </c>
      <c r="D37">
        <v>6</v>
      </c>
      <c r="E37" s="6" t="s">
        <v>4493</v>
      </c>
      <c r="F37" s="27" t="str">
        <f>TEXT(tbl_cat_major[[#This Row],[key_cat_major]],"")</f>
        <v/>
      </c>
    </row>
    <row r="38" spans="1:6" x14ac:dyDescent="0.65">
      <c r="A38" s="27">
        <v>37</v>
      </c>
      <c r="B38" s="6" t="s">
        <v>4342</v>
      </c>
      <c r="C38" s="6" t="s">
        <v>2290</v>
      </c>
      <c r="D38">
        <v>6</v>
      </c>
      <c r="E38" s="6" t="s">
        <v>4479</v>
      </c>
      <c r="F38" s="27" t="str">
        <f>TEXT(tbl_cat_major[[#This Row],[key_cat_major]],"")</f>
        <v/>
      </c>
    </row>
    <row r="39" spans="1:6" x14ac:dyDescent="0.65">
      <c r="A39" s="27">
        <v>38</v>
      </c>
      <c r="B39" s="6" t="s">
        <v>4361</v>
      </c>
      <c r="C39" s="6" t="s">
        <v>4309</v>
      </c>
      <c r="D39">
        <v>6</v>
      </c>
      <c r="E39" s="6" t="s">
        <v>4494</v>
      </c>
      <c r="F39" s="27" t="str">
        <f>TEXT(tbl_cat_major[[#This Row],[key_cat_major]],"")</f>
        <v/>
      </c>
    </row>
    <row r="40" spans="1:6" x14ac:dyDescent="0.65">
      <c r="A40" s="27">
        <v>39</v>
      </c>
      <c r="B40" s="6" t="s">
        <v>4362</v>
      </c>
      <c r="C40" s="6" t="s">
        <v>4313</v>
      </c>
      <c r="D40">
        <v>6</v>
      </c>
      <c r="E40" s="6" t="s">
        <v>4495</v>
      </c>
      <c r="F40" s="27" t="str">
        <f>TEXT(tbl_cat_major[[#This Row],[key_cat_major]],"")</f>
        <v/>
      </c>
    </row>
  </sheetData>
  <phoneticPr fontId="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A8B9-FC40-4B62-B01D-69E25410D1C4}">
  <dimension ref="A1:E105"/>
  <sheetViews>
    <sheetView topLeftCell="A61" workbookViewId="0">
      <selection activeCell="D11" sqref="D11"/>
    </sheetView>
  </sheetViews>
  <sheetFormatPr defaultRowHeight="13.5" x14ac:dyDescent="0.65"/>
  <cols>
    <col min="1" max="1" width="13.33203125" style="12" customWidth="1"/>
    <col min="2" max="2" width="33.6640625" style="12" bestFit="1" customWidth="1"/>
    <col min="3" max="3" width="64.6640625" style="12" bestFit="1" customWidth="1"/>
    <col min="4" max="4" width="15.44140625" style="12" customWidth="1"/>
    <col min="5" max="5" width="10.88671875" style="14" bestFit="1" customWidth="1"/>
    <col min="6" max="16384" width="8.88671875" style="12"/>
  </cols>
  <sheetData>
    <row r="1" spans="1:5" x14ac:dyDescent="0.65">
      <c r="A1" s="12" t="s">
        <v>4411</v>
      </c>
      <c r="B1" s="14" t="s">
        <v>32</v>
      </c>
      <c r="C1" s="14" t="s">
        <v>34</v>
      </c>
      <c r="D1" s="12" t="s">
        <v>37</v>
      </c>
      <c r="E1" s="14" t="s">
        <v>4414</v>
      </c>
    </row>
    <row r="2" spans="1:5" x14ac:dyDescent="0.65">
      <c r="A2" s="65">
        <v>1</v>
      </c>
      <c r="B2" s="14" t="s">
        <v>41</v>
      </c>
      <c r="C2" s="14" t="s">
        <v>45</v>
      </c>
      <c r="D2" s="12">
        <v>1</v>
      </c>
      <c r="E2" s="66" t="s">
        <v>4438</v>
      </c>
    </row>
    <row r="3" spans="1:5" x14ac:dyDescent="0.65">
      <c r="A3" s="65">
        <v>2</v>
      </c>
      <c r="B3" s="14" t="s">
        <v>47</v>
      </c>
      <c r="C3" s="14" t="s">
        <v>49</v>
      </c>
      <c r="D3" s="12">
        <v>1</v>
      </c>
      <c r="E3" s="66" t="s">
        <v>4439</v>
      </c>
    </row>
    <row r="4" spans="1:5" x14ac:dyDescent="0.65">
      <c r="A4" s="65">
        <v>3</v>
      </c>
      <c r="B4" s="14" t="s">
        <v>4363</v>
      </c>
      <c r="C4" s="14" t="s">
        <v>53</v>
      </c>
      <c r="D4" s="12">
        <v>1</v>
      </c>
      <c r="E4" s="66" t="s">
        <v>4440</v>
      </c>
    </row>
    <row r="5" spans="1:5" x14ac:dyDescent="0.65">
      <c r="A5" s="65">
        <v>4</v>
      </c>
      <c r="B5" s="14" t="s">
        <v>4364</v>
      </c>
      <c r="C5" s="14" t="s">
        <v>72</v>
      </c>
      <c r="D5" s="12">
        <v>1</v>
      </c>
      <c r="E5" s="66" t="s">
        <v>4441</v>
      </c>
    </row>
    <row r="6" spans="1:5" x14ac:dyDescent="0.65">
      <c r="A6" s="65">
        <v>5</v>
      </c>
      <c r="B6" s="14" t="s">
        <v>4365</v>
      </c>
      <c r="C6" s="14" t="s">
        <v>77</v>
      </c>
      <c r="D6" s="12">
        <v>2</v>
      </c>
      <c r="E6" s="66" t="s">
        <v>4442</v>
      </c>
    </row>
    <row r="7" spans="1:5" x14ac:dyDescent="0.65">
      <c r="A7" s="65">
        <v>6</v>
      </c>
      <c r="B7" s="14" t="s">
        <v>4366</v>
      </c>
      <c r="C7" s="14" t="s">
        <v>90</v>
      </c>
      <c r="D7" s="12">
        <v>2</v>
      </c>
      <c r="E7" s="66" t="s">
        <v>4443</v>
      </c>
    </row>
    <row r="8" spans="1:5" x14ac:dyDescent="0.65">
      <c r="A8" s="65">
        <v>7</v>
      </c>
      <c r="B8" s="14" t="s">
        <v>4367</v>
      </c>
      <c r="C8" s="14" t="s">
        <v>112</v>
      </c>
      <c r="D8" s="12">
        <v>2</v>
      </c>
      <c r="E8" s="66" t="s">
        <v>4444</v>
      </c>
    </row>
    <row r="9" spans="1:5" x14ac:dyDescent="0.65">
      <c r="A9" s="65">
        <v>8</v>
      </c>
      <c r="B9" s="14" t="s">
        <v>4368</v>
      </c>
      <c r="C9" s="14" t="s">
        <v>146</v>
      </c>
      <c r="D9" s="12">
        <v>2</v>
      </c>
      <c r="E9" s="66" t="s">
        <v>4445</v>
      </c>
    </row>
    <row r="10" spans="1:5" x14ac:dyDescent="0.65">
      <c r="A10" s="65">
        <v>9</v>
      </c>
      <c r="B10" s="14" t="s">
        <v>4369</v>
      </c>
      <c r="C10" s="14" t="s">
        <v>156</v>
      </c>
      <c r="D10" s="12">
        <v>2</v>
      </c>
      <c r="E10" s="66" t="s">
        <v>4446</v>
      </c>
    </row>
    <row r="11" spans="1:5" x14ac:dyDescent="0.65">
      <c r="A11" s="65">
        <v>10</v>
      </c>
      <c r="B11" s="14" t="s">
        <v>4370</v>
      </c>
      <c r="C11" s="14" t="s">
        <v>169</v>
      </c>
      <c r="D11" s="12">
        <v>2</v>
      </c>
      <c r="E11" s="66" t="s">
        <v>4447</v>
      </c>
    </row>
    <row r="12" spans="1:5" x14ac:dyDescent="0.65">
      <c r="A12" s="65">
        <v>11</v>
      </c>
      <c r="B12" s="14" t="s">
        <v>4371</v>
      </c>
      <c r="C12" s="14" t="s">
        <v>176</v>
      </c>
      <c r="D12" s="12">
        <v>2</v>
      </c>
      <c r="E12" s="66" t="s">
        <v>4448</v>
      </c>
    </row>
    <row r="13" spans="1:5" x14ac:dyDescent="0.65">
      <c r="A13" s="65">
        <v>12</v>
      </c>
      <c r="B13" s="14" t="s">
        <v>4372</v>
      </c>
      <c r="C13" s="14" t="s">
        <v>183</v>
      </c>
      <c r="D13" s="12">
        <v>2</v>
      </c>
      <c r="E13" s="66" t="s">
        <v>4449</v>
      </c>
    </row>
    <row r="14" spans="1:5" x14ac:dyDescent="0.65">
      <c r="A14" s="65">
        <v>13</v>
      </c>
      <c r="B14" s="14" t="s">
        <v>185</v>
      </c>
      <c r="C14" s="14" t="s">
        <v>187</v>
      </c>
      <c r="D14" s="12">
        <v>2</v>
      </c>
      <c r="E14" s="66" t="s">
        <v>4450</v>
      </c>
    </row>
    <row r="15" spans="1:5" x14ac:dyDescent="0.65">
      <c r="A15" s="65">
        <v>14</v>
      </c>
      <c r="B15" s="14" t="s">
        <v>4373</v>
      </c>
      <c r="C15" s="14" t="s">
        <v>203</v>
      </c>
      <c r="D15" s="12">
        <v>2</v>
      </c>
      <c r="E15" s="66" t="s">
        <v>4451</v>
      </c>
    </row>
    <row r="16" spans="1:5" x14ac:dyDescent="0.65">
      <c r="A16" s="65">
        <v>15</v>
      </c>
      <c r="B16" s="14" t="s">
        <v>4374</v>
      </c>
      <c r="C16" s="14" t="s">
        <v>420</v>
      </c>
      <c r="D16" s="12">
        <v>2</v>
      </c>
      <c r="E16" s="66" t="s">
        <v>4452</v>
      </c>
    </row>
    <row r="17" spans="1:5" x14ac:dyDescent="0.65">
      <c r="A17" s="65">
        <v>16</v>
      </c>
      <c r="B17" s="14" t="s">
        <v>4353</v>
      </c>
      <c r="C17" s="14" t="s">
        <v>484</v>
      </c>
      <c r="D17" s="12">
        <v>2</v>
      </c>
      <c r="E17" s="66" t="s">
        <v>4453</v>
      </c>
    </row>
    <row r="18" spans="1:5" x14ac:dyDescent="0.65">
      <c r="A18" s="65">
        <v>17</v>
      </c>
      <c r="B18" s="14" t="s">
        <v>4375</v>
      </c>
      <c r="C18" s="14" t="s">
        <v>596</v>
      </c>
      <c r="D18" s="12">
        <v>2</v>
      </c>
      <c r="E18" s="66" t="s">
        <v>4454</v>
      </c>
    </row>
    <row r="19" spans="1:5" x14ac:dyDescent="0.65">
      <c r="A19" s="65">
        <v>18</v>
      </c>
      <c r="B19" s="14" t="s">
        <v>4354</v>
      </c>
      <c r="C19" s="14" t="s">
        <v>720</v>
      </c>
      <c r="D19" s="12">
        <v>2</v>
      </c>
      <c r="E19" s="66" t="s">
        <v>4455</v>
      </c>
    </row>
    <row r="20" spans="1:5" x14ac:dyDescent="0.65">
      <c r="A20" s="65">
        <v>19</v>
      </c>
      <c r="B20" s="14" t="s">
        <v>4376</v>
      </c>
      <c r="C20" s="14" t="s">
        <v>832</v>
      </c>
      <c r="D20" s="12">
        <v>2</v>
      </c>
      <c r="E20" s="66" t="s">
        <v>4456</v>
      </c>
    </row>
    <row r="21" spans="1:5" x14ac:dyDescent="0.65">
      <c r="A21" s="65">
        <v>20</v>
      </c>
      <c r="B21" s="14" t="s">
        <v>4351</v>
      </c>
      <c r="C21" s="14" t="s">
        <v>881</v>
      </c>
      <c r="D21" s="12">
        <v>2</v>
      </c>
      <c r="E21" s="66" t="s">
        <v>4423</v>
      </c>
    </row>
    <row r="22" spans="1:5" x14ac:dyDescent="0.65">
      <c r="A22" s="65">
        <v>21</v>
      </c>
      <c r="B22" s="14" t="s">
        <v>4377</v>
      </c>
      <c r="C22" s="14" t="s">
        <v>918</v>
      </c>
      <c r="D22" s="12">
        <v>2</v>
      </c>
      <c r="E22" s="66" t="s">
        <v>4457</v>
      </c>
    </row>
    <row r="23" spans="1:5" x14ac:dyDescent="0.65">
      <c r="A23" s="65">
        <v>22</v>
      </c>
      <c r="B23" s="14" t="s">
        <v>4378</v>
      </c>
      <c r="C23" s="14" t="s">
        <v>997</v>
      </c>
      <c r="D23" s="12">
        <v>2</v>
      </c>
      <c r="E23" s="66" t="s">
        <v>4458</v>
      </c>
    </row>
    <row r="24" spans="1:5" x14ac:dyDescent="0.65">
      <c r="A24" s="65">
        <v>23</v>
      </c>
      <c r="B24" s="14" t="s">
        <v>4379</v>
      </c>
      <c r="C24" s="14" t="s">
        <v>1067</v>
      </c>
      <c r="D24" s="12">
        <v>2</v>
      </c>
      <c r="E24" s="66" t="s">
        <v>4459</v>
      </c>
    </row>
    <row r="25" spans="1:5" x14ac:dyDescent="0.65">
      <c r="A25" s="65">
        <v>24</v>
      </c>
      <c r="B25" s="14" t="s">
        <v>4367</v>
      </c>
      <c r="C25" s="14" t="s">
        <v>112</v>
      </c>
      <c r="D25" s="12">
        <v>3</v>
      </c>
      <c r="E25" s="66" t="s">
        <v>4444</v>
      </c>
    </row>
    <row r="26" spans="1:5" x14ac:dyDescent="0.65">
      <c r="A26" s="65">
        <v>25</v>
      </c>
      <c r="B26" s="14" t="s">
        <v>4368</v>
      </c>
      <c r="C26" s="14" t="s">
        <v>146</v>
      </c>
      <c r="D26" s="12">
        <v>3</v>
      </c>
      <c r="E26" s="66" t="s">
        <v>4445</v>
      </c>
    </row>
    <row r="27" spans="1:5" x14ac:dyDescent="0.65">
      <c r="A27" s="65">
        <v>26</v>
      </c>
      <c r="B27" s="14" t="s">
        <v>4369</v>
      </c>
      <c r="C27" s="14" t="s">
        <v>156</v>
      </c>
      <c r="D27" s="12">
        <v>3</v>
      </c>
      <c r="E27" s="66" t="s">
        <v>4446</v>
      </c>
    </row>
    <row r="28" spans="1:5" x14ac:dyDescent="0.65">
      <c r="A28" s="65">
        <v>27</v>
      </c>
      <c r="B28" s="14" t="s">
        <v>4370</v>
      </c>
      <c r="C28" s="14" t="s">
        <v>169</v>
      </c>
      <c r="D28" s="12">
        <v>3</v>
      </c>
      <c r="E28" s="66" t="s">
        <v>4447</v>
      </c>
    </row>
    <row r="29" spans="1:5" x14ac:dyDescent="0.65">
      <c r="A29" s="65">
        <v>28</v>
      </c>
      <c r="B29" s="14" t="s">
        <v>4373</v>
      </c>
      <c r="C29" s="14" t="s">
        <v>203</v>
      </c>
      <c r="D29" s="12">
        <v>3</v>
      </c>
      <c r="E29" s="66" t="s">
        <v>4451</v>
      </c>
    </row>
    <row r="30" spans="1:5" x14ac:dyDescent="0.65">
      <c r="A30" s="65">
        <v>29</v>
      </c>
      <c r="B30" s="14" t="s">
        <v>4374</v>
      </c>
      <c r="C30" s="14" t="s">
        <v>420</v>
      </c>
      <c r="D30" s="12">
        <v>3</v>
      </c>
      <c r="E30" s="66" t="s">
        <v>4452</v>
      </c>
    </row>
    <row r="31" spans="1:5" x14ac:dyDescent="0.65">
      <c r="A31" s="65">
        <v>30</v>
      </c>
      <c r="B31" s="14" t="s">
        <v>4353</v>
      </c>
      <c r="C31" s="14" t="s">
        <v>484</v>
      </c>
      <c r="D31" s="12">
        <v>3</v>
      </c>
      <c r="E31" s="66" t="s">
        <v>4453</v>
      </c>
    </row>
    <row r="32" spans="1:5" x14ac:dyDescent="0.65">
      <c r="A32" s="65">
        <v>31</v>
      </c>
      <c r="B32" s="14" t="s">
        <v>4375</v>
      </c>
      <c r="C32" s="14" t="s">
        <v>596</v>
      </c>
      <c r="D32" s="12">
        <v>3</v>
      </c>
      <c r="E32" s="66" t="s">
        <v>4454</v>
      </c>
    </row>
    <row r="33" spans="1:5" x14ac:dyDescent="0.65">
      <c r="A33" s="65">
        <v>32</v>
      </c>
      <c r="B33" s="14" t="s">
        <v>4354</v>
      </c>
      <c r="C33" s="14" t="s">
        <v>720</v>
      </c>
      <c r="D33" s="12">
        <v>3</v>
      </c>
      <c r="E33" s="66" t="s">
        <v>4455</v>
      </c>
    </row>
    <row r="34" spans="1:5" x14ac:dyDescent="0.65">
      <c r="A34" s="65">
        <v>33</v>
      </c>
      <c r="B34" s="14" t="s">
        <v>4376</v>
      </c>
      <c r="C34" s="14" t="s">
        <v>832</v>
      </c>
      <c r="D34" s="12">
        <v>3</v>
      </c>
      <c r="E34" s="66" t="s">
        <v>4456</v>
      </c>
    </row>
    <row r="35" spans="1:5" x14ac:dyDescent="0.65">
      <c r="A35" s="65">
        <v>34</v>
      </c>
      <c r="B35" s="14" t="s">
        <v>4351</v>
      </c>
      <c r="C35" s="14" t="s">
        <v>881</v>
      </c>
      <c r="D35" s="12">
        <v>3</v>
      </c>
      <c r="E35" s="66" t="s">
        <v>4423</v>
      </c>
    </row>
    <row r="36" spans="1:5" x14ac:dyDescent="0.65">
      <c r="A36" s="65">
        <v>35</v>
      </c>
      <c r="B36" s="14" t="s">
        <v>4377</v>
      </c>
      <c r="C36" s="14" t="s">
        <v>918</v>
      </c>
      <c r="D36" s="12">
        <v>3</v>
      </c>
      <c r="E36" s="66" t="s">
        <v>4457</v>
      </c>
    </row>
    <row r="37" spans="1:5" x14ac:dyDescent="0.65">
      <c r="A37" s="65">
        <v>36</v>
      </c>
      <c r="B37" s="14" t="s">
        <v>4378</v>
      </c>
      <c r="C37" s="14" t="s">
        <v>997</v>
      </c>
      <c r="D37" s="12">
        <v>3</v>
      </c>
      <c r="E37" s="66" t="s">
        <v>4458</v>
      </c>
    </row>
    <row r="38" spans="1:5" x14ac:dyDescent="0.65">
      <c r="A38" s="65">
        <v>37</v>
      </c>
      <c r="B38" s="14" t="s">
        <v>4379</v>
      </c>
      <c r="C38" s="14" t="s">
        <v>1067</v>
      </c>
      <c r="D38" s="12">
        <v>3</v>
      </c>
      <c r="E38" s="66" t="s">
        <v>4459</v>
      </c>
    </row>
    <row r="39" spans="1:5" x14ac:dyDescent="0.65">
      <c r="A39" s="65">
        <v>38</v>
      </c>
      <c r="B39" s="14" t="s">
        <v>1778</v>
      </c>
      <c r="C39" s="14" t="s">
        <v>1778</v>
      </c>
      <c r="D39" s="12">
        <v>4</v>
      </c>
      <c r="E39" s="66" t="s">
        <v>4437</v>
      </c>
    </row>
    <row r="40" spans="1:5" x14ac:dyDescent="0.65">
      <c r="A40" s="65">
        <v>39</v>
      </c>
      <c r="B40" s="14" t="s">
        <v>1778</v>
      </c>
      <c r="C40" s="14" t="s">
        <v>1778</v>
      </c>
      <c r="D40" s="12">
        <v>5</v>
      </c>
      <c r="E40" s="66" t="s">
        <v>4437</v>
      </c>
    </row>
    <row r="41" spans="1:5" x14ac:dyDescent="0.65">
      <c r="A41" s="65">
        <v>40</v>
      </c>
      <c r="B41" s="14" t="s">
        <v>1778</v>
      </c>
      <c r="C41" s="14" t="s">
        <v>1778</v>
      </c>
      <c r="D41" s="12">
        <v>6</v>
      </c>
      <c r="E41" s="66" t="s">
        <v>4437</v>
      </c>
    </row>
    <row r="42" spans="1:5" x14ac:dyDescent="0.65">
      <c r="A42" s="65">
        <v>41</v>
      </c>
      <c r="B42" s="14" t="s">
        <v>1778</v>
      </c>
      <c r="C42" s="14" t="s">
        <v>1778</v>
      </c>
      <c r="D42" s="12">
        <v>7</v>
      </c>
      <c r="E42" s="66" t="s">
        <v>4437</v>
      </c>
    </row>
    <row r="43" spans="1:5" x14ac:dyDescent="0.65">
      <c r="A43" s="65">
        <v>42</v>
      </c>
      <c r="B43" s="14" t="s">
        <v>1778</v>
      </c>
      <c r="C43" s="14" t="s">
        <v>1778</v>
      </c>
      <c r="D43" s="12">
        <v>8</v>
      </c>
      <c r="E43" s="66" t="s">
        <v>4437</v>
      </c>
    </row>
    <row r="44" spans="1:5" x14ac:dyDescent="0.65">
      <c r="A44" s="65">
        <v>43</v>
      </c>
      <c r="B44" s="14" t="s">
        <v>1778</v>
      </c>
      <c r="C44" s="14" t="s">
        <v>1778</v>
      </c>
      <c r="D44" s="12">
        <v>9</v>
      </c>
      <c r="E44" s="66" t="s">
        <v>4437</v>
      </c>
    </row>
    <row r="45" spans="1:5" x14ac:dyDescent="0.65">
      <c r="A45" s="65">
        <v>44</v>
      </c>
      <c r="B45" s="14" t="s">
        <v>1778</v>
      </c>
      <c r="C45" s="14" t="s">
        <v>1778</v>
      </c>
      <c r="D45" s="12">
        <v>10</v>
      </c>
      <c r="E45" s="66" t="s">
        <v>4437</v>
      </c>
    </row>
    <row r="46" spans="1:5" x14ac:dyDescent="0.65">
      <c r="A46" s="65">
        <v>45</v>
      </c>
      <c r="B46" s="14" t="s">
        <v>1778</v>
      </c>
      <c r="C46" s="14" t="s">
        <v>1778</v>
      </c>
      <c r="D46" s="12">
        <v>11</v>
      </c>
      <c r="E46" s="66" t="s">
        <v>4437</v>
      </c>
    </row>
    <row r="47" spans="1:5" x14ac:dyDescent="0.65">
      <c r="A47" s="65">
        <v>46</v>
      </c>
      <c r="B47" s="14" t="s">
        <v>1778</v>
      </c>
      <c r="C47" s="14" t="s">
        <v>1778</v>
      </c>
      <c r="D47" s="12">
        <v>12</v>
      </c>
      <c r="E47" s="66" t="s">
        <v>4437</v>
      </c>
    </row>
    <row r="48" spans="1:5" x14ac:dyDescent="0.65">
      <c r="A48" s="65">
        <v>47</v>
      </c>
      <c r="B48" s="14" t="s">
        <v>1778</v>
      </c>
      <c r="C48" s="14" t="s">
        <v>1778</v>
      </c>
      <c r="D48" s="12">
        <v>4</v>
      </c>
      <c r="E48" s="66" t="s">
        <v>4437</v>
      </c>
    </row>
    <row r="49" spans="1:5" x14ac:dyDescent="0.65">
      <c r="A49" s="65">
        <v>48</v>
      </c>
      <c r="B49" s="14" t="s">
        <v>1778</v>
      </c>
      <c r="C49" s="14" t="s">
        <v>1778</v>
      </c>
      <c r="D49" s="12">
        <v>14</v>
      </c>
      <c r="E49" s="66" t="s">
        <v>4437</v>
      </c>
    </row>
    <row r="50" spans="1:5" x14ac:dyDescent="0.65">
      <c r="A50" s="65">
        <v>49</v>
      </c>
      <c r="B50" s="14" t="s">
        <v>1778</v>
      </c>
      <c r="C50" s="14" t="s">
        <v>1778</v>
      </c>
      <c r="D50" s="12">
        <v>15</v>
      </c>
      <c r="E50" s="66" t="s">
        <v>4437</v>
      </c>
    </row>
    <row r="51" spans="1:5" x14ac:dyDescent="0.65">
      <c r="A51" s="65">
        <v>50</v>
      </c>
      <c r="B51" s="14" t="s">
        <v>1778</v>
      </c>
      <c r="C51" s="14" t="s">
        <v>1778</v>
      </c>
      <c r="D51" s="12">
        <v>16</v>
      </c>
      <c r="E51" s="66" t="s">
        <v>4437</v>
      </c>
    </row>
    <row r="52" spans="1:5" x14ac:dyDescent="0.65">
      <c r="A52" s="65">
        <v>51</v>
      </c>
      <c r="B52" s="14" t="s">
        <v>1778</v>
      </c>
      <c r="C52" s="14" t="s">
        <v>1778</v>
      </c>
      <c r="D52" s="12">
        <v>17</v>
      </c>
      <c r="E52" s="66" t="s">
        <v>4437</v>
      </c>
    </row>
    <row r="53" spans="1:5" x14ac:dyDescent="0.65">
      <c r="A53" s="65">
        <v>52</v>
      </c>
      <c r="B53" s="14" t="s">
        <v>4380</v>
      </c>
      <c r="C53" s="14" t="s">
        <v>1968</v>
      </c>
      <c r="D53" s="12">
        <v>18</v>
      </c>
      <c r="E53" s="66" t="s">
        <v>4424</v>
      </c>
    </row>
    <row r="54" spans="1:5" x14ac:dyDescent="0.65">
      <c r="A54" s="65">
        <v>53</v>
      </c>
      <c r="B54" s="14" t="s">
        <v>1983</v>
      </c>
      <c r="C54" s="14" t="s">
        <v>1983</v>
      </c>
      <c r="D54" s="12">
        <v>18</v>
      </c>
      <c r="E54" s="66" t="s">
        <v>4425</v>
      </c>
    </row>
    <row r="55" spans="1:5" x14ac:dyDescent="0.65">
      <c r="A55" s="65">
        <v>54</v>
      </c>
      <c r="B55" s="14" t="s">
        <v>2219</v>
      </c>
      <c r="C55" s="14" t="s">
        <v>2219</v>
      </c>
      <c r="D55" s="12">
        <v>18</v>
      </c>
      <c r="E55" s="66" t="s">
        <v>4426</v>
      </c>
    </row>
    <row r="56" spans="1:5" x14ac:dyDescent="0.65">
      <c r="A56" s="65">
        <v>55</v>
      </c>
      <c r="B56" s="14" t="s">
        <v>1778</v>
      </c>
      <c r="C56" s="14" t="s">
        <v>1778</v>
      </c>
      <c r="D56" s="12">
        <v>19</v>
      </c>
      <c r="E56" s="66" t="s">
        <v>4437</v>
      </c>
    </row>
    <row r="57" spans="1:5" x14ac:dyDescent="0.65">
      <c r="A57" s="65">
        <v>56</v>
      </c>
      <c r="B57" s="14" t="s">
        <v>1983</v>
      </c>
      <c r="C57" s="14" t="s">
        <v>1983</v>
      </c>
      <c r="D57" s="12">
        <v>20</v>
      </c>
      <c r="E57" s="66" t="s">
        <v>4425</v>
      </c>
    </row>
    <row r="58" spans="1:5" x14ac:dyDescent="0.65">
      <c r="A58" s="65">
        <v>57</v>
      </c>
      <c r="B58" s="14" t="s">
        <v>1778</v>
      </c>
      <c r="C58" s="14" t="s">
        <v>1778</v>
      </c>
      <c r="D58" s="12">
        <v>21</v>
      </c>
      <c r="E58" s="66" t="s">
        <v>4437</v>
      </c>
    </row>
    <row r="59" spans="1:5" x14ac:dyDescent="0.65">
      <c r="A59" s="65">
        <v>58</v>
      </c>
      <c r="B59" s="14" t="s">
        <v>4381</v>
      </c>
      <c r="C59" s="14" t="s">
        <v>1777</v>
      </c>
      <c r="D59" s="12">
        <v>21</v>
      </c>
      <c r="E59" s="66" t="s">
        <v>4427</v>
      </c>
    </row>
    <row r="60" spans="1:5" x14ac:dyDescent="0.65">
      <c r="A60" s="65">
        <v>59</v>
      </c>
      <c r="B60" s="14" t="s">
        <v>1778</v>
      </c>
      <c r="C60" s="14" t="s">
        <v>1778</v>
      </c>
      <c r="D60" s="12">
        <v>22</v>
      </c>
      <c r="E60" s="66" t="s">
        <v>4437</v>
      </c>
    </row>
    <row r="61" spans="1:5" x14ac:dyDescent="0.65">
      <c r="A61" s="65">
        <v>60</v>
      </c>
      <c r="B61" s="14" t="s">
        <v>2486</v>
      </c>
      <c r="C61" s="14" t="s">
        <v>2486</v>
      </c>
      <c r="D61" s="12">
        <v>22</v>
      </c>
      <c r="E61" s="66" t="s">
        <v>4428</v>
      </c>
    </row>
    <row r="62" spans="1:5" x14ac:dyDescent="0.65">
      <c r="A62" s="65">
        <v>61</v>
      </c>
      <c r="B62" s="14" t="s">
        <v>2642</v>
      </c>
      <c r="C62" s="14" t="s">
        <v>2642</v>
      </c>
      <c r="D62" s="12">
        <v>22</v>
      </c>
      <c r="E62" s="66" t="s">
        <v>4429</v>
      </c>
    </row>
    <row r="63" spans="1:5" x14ac:dyDescent="0.65">
      <c r="A63" s="65">
        <v>62</v>
      </c>
      <c r="B63" s="14" t="s">
        <v>2219</v>
      </c>
      <c r="C63" s="14" t="s">
        <v>4382</v>
      </c>
      <c r="D63" s="12">
        <v>22</v>
      </c>
      <c r="E63" s="66" t="s">
        <v>4426</v>
      </c>
    </row>
    <row r="64" spans="1:5" x14ac:dyDescent="0.65">
      <c r="A64" s="65">
        <v>63</v>
      </c>
      <c r="B64" s="14" t="s">
        <v>4383</v>
      </c>
      <c r="C64" s="14" t="s">
        <v>2780</v>
      </c>
      <c r="D64" s="12">
        <v>23</v>
      </c>
      <c r="E64" s="66" t="s">
        <v>4430</v>
      </c>
    </row>
    <row r="65" spans="1:5" x14ac:dyDescent="0.65">
      <c r="A65" s="65">
        <v>64</v>
      </c>
      <c r="B65" s="14" t="s">
        <v>1778</v>
      </c>
      <c r="C65" s="14" t="s">
        <v>1778</v>
      </c>
      <c r="D65" s="12">
        <v>23</v>
      </c>
      <c r="E65" s="66" t="s">
        <v>4437</v>
      </c>
    </row>
    <row r="66" spans="1:5" x14ac:dyDescent="0.65">
      <c r="A66" s="65">
        <v>65</v>
      </c>
      <c r="B66" s="14" t="s">
        <v>4384</v>
      </c>
      <c r="C66" s="14" t="s">
        <v>2883</v>
      </c>
      <c r="D66" s="12">
        <v>23</v>
      </c>
      <c r="E66" s="66" t="s">
        <v>4431</v>
      </c>
    </row>
    <row r="67" spans="1:5" x14ac:dyDescent="0.65">
      <c r="A67" s="65">
        <v>66</v>
      </c>
      <c r="B67" s="14" t="s">
        <v>4385</v>
      </c>
      <c r="C67" s="14" t="s">
        <v>4386</v>
      </c>
      <c r="D67" s="12">
        <v>23</v>
      </c>
      <c r="E67" s="66" t="s">
        <v>4460</v>
      </c>
    </row>
    <row r="68" spans="1:5" x14ac:dyDescent="0.65">
      <c r="A68" s="65">
        <v>67</v>
      </c>
      <c r="B68" s="14" t="s">
        <v>2486</v>
      </c>
      <c r="C68" s="14" t="s">
        <v>2486</v>
      </c>
      <c r="D68" s="12">
        <v>23</v>
      </c>
      <c r="E68" s="66" t="s">
        <v>4428</v>
      </c>
    </row>
    <row r="69" spans="1:5" x14ac:dyDescent="0.65">
      <c r="A69" s="65">
        <v>68</v>
      </c>
      <c r="B69" s="14" t="s">
        <v>4387</v>
      </c>
      <c r="C69" s="14" t="s">
        <v>4388</v>
      </c>
      <c r="D69" s="12">
        <v>23</v>
      </c>
      <c r="E69" s="66" t="s">
        <v>4461</v>
      </c>
    </row>
    <row r="70" spans="1:5" x14ac:dyDescent="0.65">
      <c r="A70" s="65">
        <v>69</v>
      </c>
      <c r="B70" s="14" t="s">
        <v>4389</v>
      </c>
      <c r="C70" s="14" t="s">
        <v>3019</v>
      </c>
      <c r="D70" s="12">
        <v>23</v>
      </c>
      <c r="E70" s="66" t="s">
        <v>4432</v>
      </c>
    </row>
    <row r="71" spans="1:5" x14ac:dyDescent="0.65">
      <c r="A71" s="65">
        <v>70</v>
      </c>
      <c r="B71" s="14" t="s">
        <v>4380</v>
      </c>
      <c r="C71" s="14" t="s">
        <v>1968</v>
      </c>
      <c r="D71" s="12">
        <v>23</v>
      </c>
      <c r="E71" s="66" t="s">
        <v>4424</v>
      </c>
    </row>
    <row r="72" spans="1:5" x14ac:dyDescent="0.65">
      <c r="A72" s="65">
        <v>71</v>
      </c>
      <c r="B72" s="14" t="s">
        <v>4384</v>
      </c>
      <c r="C72" s="14" t="s">
        <v>2883</v>
      </c>
      <c r="D72" s="12">
        <v>24</v>
      </c>
      <c r="E72" s="66" t="s">
        <v>4431</v>
      </c>
    </row>
    <row r="73" spans="1:5" x14ac:dyDescent="0.65">
      <c r="A73" s="65">
        <v>72</v>
      </c>
      <c r="B73" s="14" t="s">
        <v>4389</v>
      </c>
      <c r="C73" s="14" t="s">
        <v>3019</v>
      </c>
      <c r="D73" s="12">
        <v>24</v>
      </c>
      <c r="E73" s="66" t="s">
        <v>4432</v>
      </c>
    </row>
    <row r="74" spans="1:5" x14ac:dyDescent="0.65">
      <c r="A74" s="65">
        <v>73</v>
      </c>
      <c r="B74" s="14" t="s">
        <v>1778</v>
      </c>
      <c r="C74" s="14" t="s">
        <v>1778</v>
      </c>
      <c r="D74" s="12">
        <v>24</v>
      </c>
      <c r="E74" s="66" t="s">
        <v>4437</v>
      </c>
    </row>
    <row r="75" spans="1:5" x14ac:dyDescent="0.65">
      <c r="A75" s="65">
        <v>74</v>
      </c>
      <c r="B75" s="14" t="s">
        <v>4380</v>
      </c>
      <c r="C75" s="14" t="s">
        <v>1968</v>
      </c>
      <c r="D75" s="12">
        <v>24</v>
      </c>
      <c r="E75" s="66" t="s">
        <v>4424</v>
      </c>
    </row>
    <row r="76" spans="1:5" x14ac:dyDescent="0.65">
      <c r="A76" s="65">
        <v>75</v>
      </c>
      <c r="B76" s="14" t="s">
        <v>2486</v>
      </c>
      <c r="C76" s="14" t="s">
        <v>2486</v>
      </c>
      <c r="D76" s="12">
        <v>25</v>
      </c>
      <c r="E76" s="66" t="s">
        <v>4428</v>
      </c>
    </row>
    <row r="77" spans="1:5" x14ac:dyDescent="0.65">
      <c r="A77" s="65">
        <v>76</v>
      </c>
      <c r="B77" s="14" t="s">
        <v>4380</v>
      </c>
      <c r="C77" s="14" t="s">
        <v>1968</v>
      </c>
      <c r="D77" s="12">
        <v>25</v>
      </c>
      <c r="E77" s="66" t="s">
        <v>4424</v>
      </c>
    </row>
    <row r="78" spans="1:5" x14ac:dyDescent="0.65">
      <c r="A78" s="65">
        <v>77</v>
      </c>
      <c r="B78" s="14" t="s">
        <v>1778</v>
      </c>
      <c r="C78" s="14" t="s">
        <v>1778</v>
      </c>
      <c r="D78" s="12">
        <v>25</v>
      </c>
      <c r="E78" s="66" t="s">
        <v>4437</v>
      </c>
    </row>
    <row r="79" spans="1:5" x14ac:dyDescent="0.65">
      <c r="A79" s="65">
        <v>78</v>
      </c>
      <c r="B79" s="14" t="s">
        <v>2486</v>
      </c>
      <c r="C79" s="14" t="s">
        <v>2486</v>
      </c>
      <c r="D79" s="12">
        <v>26</v>
      </c>
      <c r="E79" s="66" t="s">
        <v>4428</v>
      </c>
    </row>
    <row r="80" spans="1:5" x14ac:dyDescent="0.65">
      <c r="A80" s="65">
        <v>79</v>
      </c>
      <c r="B80" s="14" t="s">
        <v>1778</v>
      </c>
      <c r="C80" s="14" t="s">
        <v>1778</v>
      </c>
      <c r="D80" s="12">
        <v>26</v>
      </c>
      <c r="E80" s="66" t="s">
        <v>4437</v>
      </c>
    </row>
    <row r="81" spans="1:5" x14ac:dyDescent="0.65">
      <c r="A81" s="65">
        <v>80</v>
      </c>
      <c r="B81" s="14" t="s">
        <v>4380</v>
      </c>
      <c r="C81" s="14" t="s">
        <v>1968</v>
      </c>
      <c r="D81" s="12">
        <v>26</v>
      </c>
      <c r="E81" s="66" t="s">
        <v>4424</v>
      </c>
    </row>
    <row r="82" spans="1:5" x14ac:dyDescent="0.65">
      <c r="A82" s="65">
        <v>81</v>
      </c>
      <c r="B82" s="14" t="s">
        <v>4390</v>
      </c>
      <c r="C82" s="14" t="s">
        <v>3768</v>
      </c>
      <c r="D82" s="12">
        <v>26</v>
      </c>
      <c r="E82" s="66" t="s">
        <v>4433</v>
      </c>
    </row>
    <row r="83" spans="1:5" x14ac:dyDescent="0.65">
      <c r="A83" s="65">
        <v>82</v>
      </c>
      <c r="B83" s="14" t="s">
        <v>3772</v>
      </c>
      <c r="C83" s="14" t="s">
        <v>3772</v>
      </c>
      <c r="D83" s="12">
        <v>26</v>
      </c>
      <c r="E83" s="66" t="s">
        <v>4434</v>
      </c>
    </row>
    <row r="84" spans="1:5" x14ac:dyDescent="0.65">
      <c r="A84" s="65">
        <v>83</v>
      </c>
      <c r="B84" s="14" t="s">
        <v>1983</v>
      </c>
      <c r="C84" s="14" t="s">
        <v>1983</v>
      </c>
      <c r="D84" s="12">
        <v>27</v>
      </c>
      <c r="E84" s="66" t="s">
        <v>4425</v>
      </c>
    </row>
    <row r="85" spans="1:5" x14ac:dyDescent="0.65">
      <c r="A85" s="65">
        <v>84</v>
      </c>
      <c r="B85" s="14" t="s">
        <v>2486</v>
      </c>
      <c r="C85" s="14" t="s">
        <v>2486</v>
      </c>
      <c r="D85" s="12">
        <v>27</v>
      </c>
      <c r="E85" s="66" t="s">
        <v>4428</v>
      </c>
    </row>
    <row r="86" spans="1:5" x14ac:dyDescent="0.65">
      <c r="A86" s="65">
        <v>85</v>
      </c>
      <c r="B86" s="14" t="s">
        <v>3941</v>
      </c>
      <c r="C86" s="14" t="s">
        <v>3941</v>
      </c>
      <c r="D86" s="12">
        <v>27</v>
      </c>
      <c r="E86" s="66" t="s">
        <v>4435</v>
      </c>
    </row>
    <row r="87" spans="1:5" x14ac:dyDescent="0.65">
      <c r="A87" s="65">
        <v>86</v>
      </c>
      <c r="B87" s="14" t="s">
        <v>1778</v>
      </c>
      <c r="C87" s="14" t="s">
        <v>1778</v>
      </c>
      <c r="D87" s="12">
        <v>28</v>
      </c>
      <c r="E87" s="66" t="s">
        <v>4437</v>
      </c>
    </row>
    <row r="88" spans="1:5" x14ac:dyDescent="0.65">
      <c r="A88" s="65">
        <v>87</v>
      </c>
      <c r="B88" s="14" t="s">
        <v>1778</v>
      </c>
      <c r="C88" s="14" t="s">
        <v>1778</v>
      </c>
      <c r="D88" s="12">
        <v>29</v>
      </c>
      <c r="E88" s="66" t="s">
        <v>4437</v>
      </c>
    </row>
    <row r="89" spans="1:5" x14ac:dyDescent="0.65">
      <c r="A89" s="65">
        <v>88</v>
      </c>
      <c r="B89" s="14" t="s">
        <v>1778</v>
      </c>
      <c r="C89" s="14" t="s">
        <v>1778</v>
      </c>
      <c r="D89" s="12">
        <v>30</v>
      </c>
      <c r="E89" s="66" t="s">
        <v>4437</v>
      </c>
    </row>
    <row r="90" spans="1:5" x14ac:dyDescent="0.65">
      <c r="A90" s="65">
        <v>89</v>
      </c>
      <c r="B90" s="14" t="s">
        <v>1778</v>
      </c>
      <c r="C90" s="14" t="s">
        <v>1778</v>
      </c>
      <c r="D90" s="12">
        <v>31</v>
      </c>
      <c r="E90" s="66" t="s">
        <v>4437</v>
      </c>
    </row>
    <row r="91" spans="1:5" x14ac:dyDescent="0.65">
      <c r="A91" s="65">
        <v>90</v>
      </c>
      <c r="B91" s="14" t="s">
        <v>2486</v>
      </c>
      <c r="C91" s="14" t="s">
        <v>2486</v>
      </c>
      <c r="D91" s="12">
        <v>32</v>
      </c>
      <c r="E91" s="66" t="s">
        <v>4428</v>
      </c>
    </row>
    <row r="92" spans="1:5" x14ac:dyDescent="0.65">
      <c r="A92" s="65">
        <v>91</v>
      </c>
      <c r="B92" s="14" t="s">
        <v>1778</v>
      </c>
      <c r="C92" s="14" t="s">
        <v>1778</v>
      </c>
      <c r="D92" s="12">
        <v>32</v>
      </c>
      <c r="E92" s="66" t="s">
        <v>4437</v>
      </c>
    </row>
    <row r="93" spans="1:5" x14ac:dyDescent="0.65">
      <c r="A93" s="65">
        <v>92</v>
      </c>
      <c r="B93" s="14" t="s">
        <v>4042</v>
      </c>
      <c r="C93" s="14" t="s">
        <v>4042</v>
      </c>
      <c r="D93" s="12">
        <v>32</v>
      </c>
      <c r="E93" s="66" t="s">
        <v>4436</v>
      </c>
    </row>
    <row r="94" spans="1:5" x14ac:dyDescent="0.65">
      <c r="A94" s="65">
        <v>93</v>
      </c>
      <c r="B94" s="14" t="s">
        <v>4380</v>
      </c>
      <c r="C94" s="14" t="s">
        <v>1968</v>
      </c>
      <c r="D94" s="12">
        <v>32</v>
      </c>
      <c r="E94" s="66" t="s">
        <v>4424</v>
      </c>
    </row>
    <row r="95" spans="1:5" x14ac:dyDescent="0.65">
      <c r="A95" s="65">
        <v>94</v>
      </c>
      <c r="B95" s="14" t="s">
        <v>4391</v>
      </c>
      <c r="C95" s="14" t="s">
        <v>4133</v>
      </c>
      <c r="D95" s="12">
        <v>32</v>
      </c>
      <c r="E95" s="66" t="s">
        <v>4462</v>
      </c>
    </row>
    <row r="96" spans="1:5" x14ac:dyDescent="0.65">
      <c r="A96" s="65">
        <v>95</v>
      </c>
      <c r="B96" s="14" t="s">
        <v>4380</v>
      </c>
      <c r="C96" s="14" t="s">
        <v>1968</v>
      </c>
      <c r="D96" s="12">
        <v>33</v>
      </c>
      <c r="E96" s="66" t="s">
        <v>4424</v>
      </c>
    </row>
    <row r="97" spans="1:5" x14ac:dyDescent="0.65">
      <c r="A97" s="65">
        <v>96</v>
      </c>
      <c r="B97" s="14" t="s">
        <v>2486</v>
      </c>
      <c r="C97" s="14" t="s">
        <v>2486</v>
      </c>
      <c r="D97" s="12">
        <v>34</v>
      </c>
      <c r="E97" s="66" t="s">
        <v>4428</v>
      </c>
    </row>
    <row r="98" spans="1:5" x14ac:dyDescent="0.65">
      <c r="A98" s="65">
        <v>97</v>
      </c>
      <c r="B98" s="14" t="s">
        <v>2486</v>
      </c>
      <c r="C98" s="14" t="s">
        <v>2486</v>
      </c>
      <c r="D98" s="12">
        <v>35</v>
      </c>
      <c r="E98" s="66" t="s">
        <v>4428</v>
      </c>
    </row>
    <row r="99" spans="1:5" x14ac:dyDescent="0.65">
      <c r="A99" s="65">
        <v>98</v>
      </c>
      <c r="B99" s="14" t="s">
        <v>4380</v>
      </c>
      <c r="C99" s="14" t="s">
        <v>1968</v>
      </c>
      <c r="D99" s="12">
        <v>35</v>
      </c>
      <c r="E99" s="66" t="s">
        <v>4424</v>
      </c>
    </row>
    <row r="100" spans="1:5" x14ac:dyDescent="0.65">
      <c r="A100" s="65">
        <v>99</v>
      </c>
      <c r="B100" s="14" t="s">
        <v>1778</v>
      </c>
      <c r="C100" s="14" t="s">
        <v>1778</v>
      </c>
      <c r="D100" s="12">
        <v>35</v>
      </c>
      <c r="E100" s="66" t="s">
        <v>4437</v>
      </c>
    </row>
    <row r="101" spans="1:5" x14ac:dyDescent="0.65">
      <c r="A101" s="65">
        <v>100</v>
      </c>
      <c r="B101" s="14" t="s">
        <v>2486</v>
      </c>
      <c r="C101" s="14" t="s">
        <v>2486</v>
      </c>
      <c r="D101" s="12">
        <v>36</v>
      </c>
      <c r="E101" s="66" t="s">
        <v>4428</v>
      </c>
    </row>
    <row r="102" spans="1:5" x14ac:dyDescent="0.65">
      <c r="A102" s="65">
        <v>101</v>
      </c>
      <c r="B102" s="14" t="s">
        <v>1778</v>
      </c>
      <c r="C102" s="14" t="s">
        <v>1778</v>
      </c>
      <c r="D102" s="12">
        <v>36</v>
      </c>
      <c r="E102" s="66" t="s">
        <v>4437</v>
      </c>
    </row>
    <row r="103" spans="1:5" x14ac:dyDescent="0.65">
      <c r="A103" s="65">
        <v>102</v>
      </c>
      <c r="B103" s="14" t="s">
        <v>1778</v>
      </c>
      <c r="C103" s="14" t="s">
        <v>1778</v>
      </c>
      <c r="D103" s="12">
        <v>37</v>
      </c>
      <c r="E103" s="66" t="s">
        <v>4437</v>
      </c>
    </row>
    <row r="104" spans="1:5" x14ac:dyDescent="0.65">
      <c r="A104" s="65">
        <v>103</v>
      </c>
      <c r="B104" s="14" t="s">
        <v>2486</v>
      </c>
      <c r="C104" s="14" t="s">
        <v>2486</v>
      </c>
      <c r="D104" s="12">
        <v>38</v>
      </c>
      <c r="E104" s="66" t="s">
        <v>4428</v>
      </c>
    </row>
    <row r="105" spans="1:5" x14ac:dyDescent="0.65">
      <c r="A105" s="65">
        <v>104</v>
      </c>
      <c r="B105" s="14" t="s">
        <v>1778</v>
      </c>
      <c r="C105" s="14" t="s">
        <v>1778</v>
      </c>
      <c r="D105" s="12">
        <v>39</v>
      </c>
      <c r="E105" s="66" t="s">
        <v>4437</v>
      </c>
    </row>
  </sheetData>
  <phoneticPr fontId="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657B-10D0-4AE5-ABC4-53169A774226}">
  <dimension ref="A1:C4"/>
  <sheetViews>
    <sheetView workbookViewId="0">
      <selection activeCell="D11" sqref="D11"/>
    </sheetView>
  </sheetViews>
  <sheetFormatPr defaultRowHeight="13.5" x14ac:dyDescent="0.65"/>
  <cols>
    <col min="1" max="1" width="15.109375" style="12" bestFit="1" customWidth="1"/>
    <col min="2" max="2" width="12.21875" style="14" bestFit="1" customWidth="1"/>
    <col min="3" max="3" width="10.33203125" style="12" bestFit="1" customWidth="1"/>
    <col min="4" max="16384" width="8.88671875" style="12"/>
  </cols>
  <sheetData>
    <row r="1" spans="1:3" x14ac:dyDescent="0.65">
      <c r="A1" s="12" t="s">
        <v>4412</v>
      </c>
      <c r="B1" s="14" t="s">
        <v>32</v>
      </c>
      <c r="C1" s="12" t="s">
        <v>34</v>
      </c>
    </row>
    <row r="2" spans="1:3" x14ac:dyDescent="0.65">
      <c r="A2" s="12">
        <v>0</v>
      </c>
      <c r="B2" s="14" t="s">
        <v>4392</v>
      </c>
      <c r="C2" s="12" t="s">
        <v>4393</v>
      </c>
    </row>
    <row r="3" spans="1:3" x14ac:dyDescent="0.65">
      <c r="A3" s="12">
        <v>1</v>
      </c>
      <c r="B3" s="14" t="s">
        <v>4394</v>
      </c>
      <c r="C3" s="12" t="s">
        <v>4395</v>
      </c>
    </row>
    <row r="4" spans="1:3" x14ac:dyDescent="0.65">
      <c r="A4" s="12">
        <v>2</v>
      </c>
      <c r="B4" s="14" t="s">
        <v>4396</v>
      </c>
      <c r="C4" s="12" t="s">
        <v>4397</v>
      </c>
    </row>
  </sheetData>
  <phoneticPr fontId="1"/>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0782-AEB4-478F-9509-F2DBCC354788}">
  <dimension ref="A1:Z16"/>
  <sheetViews>
    <sheetView workbookViewId="0">
      <selection activeCell="F4" sqref="F4"/>
    </sheetView>
  </sheetViews>
  <sheetFormatPr defaultRowHeight="13.5" x14ac:dyDescent="0.65"/>
  <cols>
    <col min="1" max="1" width="14.38671875" style="12" bestFit="1" customWidth="1"/>
    <col min="2" max="2" width="14.94140625" style="12" customWidth="1"/>
    <col min="3" max="3" width="13" style="12" bestFit="1" customWidth="1"/>
    <col min="4" max="4" width="18.94140625" style="14" bestFit="1" customWidth="1"/>
    <col min="5" max="5" width="17.83203125" style="14" bestFit="1" customWidth="1"/>
    <col min="6" max="6" width="98.27734375" style="35" bestFit="1" customWidth="1"/>
    <col min="7" max="7" width="16.0546875" style="14" bestFit="1" customWidth="1"/>
    <col min="8" max="8" width="13.6640625" style="14" bestFit="1" customWidth="1"/>
    <col min="9" max="9" width="13.5546875" style="14" bestFit="1" customWidth="1"/>
    <col min="10" max="10" width="13.83203125" style="14" bestFit="1" customWidth="1"/>
    <col min="11" max="11" width="13.6640625" style="14" bestFit="1" customWidth="1"/>
    <col min="12" max="12" width="16.33203125" style="14" bestFit="1" customWidth="1"/>
    <col min="13" max="13" width="15.77734375" style="14" customWidth="1"/>
    <col min="14" max="14" width="19.94140625" style="14" bestFit="1" customWidth="1"/>
    <col min="15" max="15" width="19.5" style="14" bestFit="1" customWidth="1"/>
    <col min="16" max="16" width="23.6640625" style="14" bestFit="1" customWidth="1"/>
    <col min="17" max="17" width="19.94140625" style="14" customWidth="1"/>
    <col min="18" max="18" width="29.109375" style="14" bestFit="1" customWidth="1"/>
    <col min="19" max="19" width="28.27734375" style="14" bestFit="1" customWidth="1"/>
    <col min="20" max="20" width="24.77734375" style="14" bestFit="1" customWidth="1"/>
    <col min="21" max="21" width="15.77734375" style="14" bestFit="1" customWidth="1"/>
    <col min="22" max="22" width="29.6640625" style="14" bestFit="1" customWidth="1"/>
    <col min="23" max="23" width="21.44140625" style="12" bestFit="1" customWidth="1"/>
    <col min="24" max="16384" width="8.88671875" style="12"/>
  </cols>
  <sheetData>
    <row r="1" spans="1:26" x14ac:dyDescent="0.65">
      <c r="A1" s="39" t="s">
        <v>4498</v>
      </c>
      <c r="B1" s="39" t="s">
        <v>16</v>
      </c>
      <c r="C1" s="39" t="s">
        <v>4503</v>
      </c>
      <c r="D1" s="39" t="s">
        <v>4499</v>
      </c>
      <c r="E1" s="39" t="s">
        <v>4500</v>
      </c>
      <c r="F1" s="39" t="s">
        <v>4504</v>
      </c>
      <c r="G1" s="39" t="s">
        <v>4505</v>
      </c>
      <c r="H1" s="39" t="s">
        <v>4506</v>
      </c>
      <c r="I1" s="39" t="s">
        <v>4507</v>
      </c>
      <c r="J1" s="39" t="s">
        <v>4508</v>
      </c>
      <c r="K1" s="39" t="s">
        <v>4509</v>
      </c>
      <c r="L1" s="39" t="s">
        <v>4647</v>
      </c>
      <c r="M1" s="39" t="s">
        <v>4502</v>
      </c>
      <c r="N1" s="17" t="s">
        <v>26</v>
      </c>
      <c r="O1" s="17" t="s">
        <v>29</v>
      </c>
      <c r="P1" s="39" t="s">
        <v>4640</v>
      </c>
      <c r="Q1" s="39" t="s">
        <v>4646</v>
      </c>
      <c r="R1" s="39" t="s">
        <v>4649</v>
      </c>
      <c r="S1" s="39" t="s">
        <v>4650</v>
      </c>
      <c r="T1" s="39" t="s">
        <v>4651</v>
      </c>
      <c r="U1" s="39" t="s">
        <v>4652</v>
      </c>
      <c r="V1" s="17" t="s">
        <v>4653</v>
      </c>
      <c r="W1" s="39" t="s">
        <v>4501</v>
      </c>
    </row>
    <row r="2" spans="1:26" ht="40.5" x14ac:dyDescent="0.65">
      <c r="A2" s="67">
        <v>1</v>
      </c>
      <c r="B2" s="68">
        <v>575</v>
      </c>
      <c r="C2" s="68">
        <v>1</v>
      </c>
      <c r="D2" s="68" t="s">
        <v>4700</v>
      </c>
      <c r="E2" s="68" t="s">
        <v>4698</v>
      </c>
      <c r="F2" s="73" t="s">
        <v>4703</v>
      </c>
      <c r="G2" s="68"/>
      <c r="H2" s="68"/>
      <c r="I2" s="68"/>
      <c r="J2" s="68"/>
      <c r="K2" s="68"/>
      <c r="L2" s="68"/>
      <c r="M2" s="68"/>
      <c r="N2" s="68"/>
      <c r="O2" s="68"/>
      <c r="P2" s="68"/>
      <c r="Q2" s="68"/>
      <c r="R2" s="68"/>
      <c r="S2" s="68"/>
      <c r="T2" s="68"/>
      <c r="U2" s="68"/>
      <c r="V2" s="68"/>
      <c r="W2" s="68"/>
    </row>
    <row r="3" spans="1:26" ht="27" x14ac:dyDescent="0.65">
      <c r="A3" s="69">
        <v>2</v>
      </c>
      <c r="B3" s="70">
        <v>575</v>
      </c>
      <c r="C3" s="70">
        <v>1</v>
      </c>
      <c r="D3" s="70" t="s">
        <v>4700</v>
      </c>
      <c r="E3" s="70" t="s">
        <v>4701</v>
      </c>
      <c r="F3" s="74" t="s">
        <v>4704</v>
      </c>
      <c r="G3" s="70"/>
      <c r="H3" s="70"/>
      <c r="I3" s="70"/>
      <c r="J3" s="70"/>
      <c r="K3" s="70"/>
      <c r="L3" s="70"/>
      <c r="M3" s="70"/>
      <c r="N3" s="70"/>
      <c r="O3" s="70"/>
      <c r="W3" s="14"/>
      <c r="X3" s="14"/>
      <c r="Y3" s="14"/>
      <c r="Z3" s="14"/>
    </row>
    <row r="4" spans="1:26" ht="27" x14ac:dyDescent="0.65">
      <c r="A4" s="67">
        <v>3</v>
      </c>
      <c r="B4" s="68">
        <v>575</v>
      </c>
      <c r="C4" s="68">
        <v>1</v>
      </c>
      <c r="D4" s="68" t="s">
        <v>4700</v>
      </c>
      <c r="E4" s="68" t="s">
        <v>4702</v>
      </c>
      <c r="F4" s="73" t="s">
        <v>4705</v>
      </c>
      <c r="G4" s="68"/>
      <c r="H4" s="68"/>
      <c r="I4" s="68"/>
      <c r="J4" s="68"/>
      <c r="K4" s="68"/>
      <c r="L4" s="68"/>
      <c r="M4" s="68"/>
      <c r="N4" s="68"/>
      <c r="O4" s="68"/>
      <c r="P4" s="68"/>
      <c r="Q4" s="68"/>
      <c r="W4" s="14"/>
      <c r="X4" s="14"/>
      <c r="Y4" s="14"/>
    </row>
    <row r="5" spans="1:26" x14ac:dyDescent="0.65">
      <c r="A5" s="69"/>
      <c r="B5" s="70"/>
      <c r="C5" s="70"/>
      <c r="D5" s="70"/>
      <c r="E5" s="70"/>
      <c r="F5" s="76"/>
      <c r="G5" s="70"/>
      <c r="H5" s="70"/>
      <c r="I5" s="70"/>
      <c r="J5" s="70"/>
      <c r="K5" s="70"/>
      <c r="L5" s="70"/>
      <c r="M5" s="70"/>
      <c r="N5" s="70"/>
      <c r="O5" s="70"/>
      <c r="P5" s="70"/>
      <c r="Q5" s="70"/>
      <c r="R5" s="70"/>
      <c r="S5" s="70"/>
      <c r="T5" s="70"/>
      <c r="U5" s="70"/>
      <c r="V5" s="70"/>
      <c r="W5" s="70"/>
    </row>
    <row r="6" spans="1:26" x14ac:dyDescent="0.65">
      <c r="A6" s="67"/>
      <c r="B6" s="68"/>
      <c r="C6" s="68"/>
      <c r="D6" s="68"/>
      <c r="E6" s="68"/>
      <c r="F6" s="75"/>
      <c r="G6" s="68"/>
      <c r="H6" s="68"/>
      <c r="I6" s="68"/>
      <c r="J6" s="68"/>
      <c r="K6" s="68"/>
      <c r="L6" s="68"/>
      <c r="M6" s="68"/>
      <c r="N6" s="68"/>
      <c r="O6" s="68"/>
      <c r="P6" s="68"/>
      <c r="Q6" s="68"/>
      <c r="R6" s="68"/>
      <c r="S6" s="68"/>
      <c r="T6" s="68"/>
      <c r="U6" s="68"/>
      <c r="V6" s="68"/>
      <c r="W6" s="68"/>
    </row>
    <row r="7" spans="1:26" x14ac:dyDescent="0.65">
      <c r="A7" s="69"/>
      <c r="B7" s="70"/>
      <c r="C7" s="70"/>
      <c r="D7" s="70"/>
      <c r="E7" s="70"/>
      <c r="F7" s="76"/>
      <c r="G7" s="70"/>
      <c r="H7" s="70"/>
      <c r="I7" s="70"/>
      <c r="J7" s="70"/>
      <c r="K7" s="70"/>
      <c r="L7" s="70"/>
      <c r="M7" s="70"/>
      <c r="N7" s="70"/>
      <c r="O7" s="70"/>
      <c r="P7" s="70"/>
      <c r="Q7" s="70"/>
      <c r="R7" s="70"/>
      <c r="S7" s="70"/>
      <c r="T7" s="70"/>
      <c r="U7" s="70"/>
      <c r="V7" s="70"/>
      <c r="W7" s="70"/>
    </row>
    <row r="8" spans="1:26" x14ac:dyDescent="0.65">
      <c r="A8" s="67"/>
      <c r="B8" s="68"/>
      <c r="C8" s="68"/>
      <c r="D8" s="68"/>
      <c r="E8" s="68"/>
      <c r="F8" s="75"/>
      <c r="G8" s="68"/>
      <c r="H8" s="68"/>
      <c r="I8" s="68"/>
      <c r="J8" s="68"/>
      <c r="K8" s="68"/>
      <c r="L8" s="68"/>
      <c r="M8" s="68"/>
      <c r="N8" s="68"/>
      <c r="O8" s="68"/>
      <c r="P8" s="68"/>
      <c r="Q8" s="68"/>
      <c r="R8" s="68"/>
      <c r="S8" s="68"/>
      <c r="T8" s="68"/>
      <c r="U8" s="68"/>
      <c r="V8" s="68"/>
      <c r="W8" s="68"/>
    </row>
    <row r="9" spans="1:26" x14ac:dyDescent="0.65">
      <c r="A9" s="69"/>
      <c r="B9" s="70"/>
      <c r="C9" s="70"/>
      <c r="D9" s="70"/>
      <c r="E9" s="70"/>
      <c r="F9" s="76"/>
      <c r="G9" s="70"/>
      <c r="H9" s="70"/>
      <c r="I9" s="70"/>
      <c r="J9" s="70"/>
      <c r="K9" s="70"/>
      <c r="L9" s="70"/>
      <c r="M9" s="70"/>
      <c r="N9" s="70"/>
      <c r="O9" s="70"/>
      <c r="P9" s="70"/>
      <c r="Q9" s="70"/>
      <c r="R9" s="70"/>
      <c r="S9" s="70"/>
      <c r="T9" s="70"/>
      <c r="U9" s="70"/>
      <c r="V9" s="70"/>
      <c r="W9" s="70"/>
    </row>
    <row r="10" spans="1:26" x14ac:dyDescent="0.65">
      <c r="A10" s="67"/>
      <c r="B10" s="68"/>
      <c r="C10" s="68"/>
      <c r="D10" s="68"/>
      <c r="E10" s="68"/>
      <c r="F10" s="75"/>
      <c r="G10" s="68"/>
      <c r="H10" s="68"/>
      <c r="I10" s="68"/>
      <c r="J10" s="68"/>
      <c r="K10" s="68"/>
      <c r="L10" s="68"/>
      <c r="M10" s="68"/>
      <c r="N10" s="68"/>
      <c r="O10" s="68"/>
      <c r="P10" s="68"/>
      <c r="Q10" s="68"/>
      <c r="R10" s="68"/>
      <c r="S10" s="68"/>
      <c r="T10" s="68"/>
      <c r="U10" s="68"/>
      <c r="V10" s="68"/>
      <c r="W10" s="68"/>
    </row>
    <row r="11" spans="1:26" x14ac:dyDescent="0.65">
      <c r="A11" s="69"/>
      <c r="B11" s="70"/>
      <c r="C11" s="70"/>
      <c r="D11" s="70"/>
      <c r="E11" s="70"/>
      <c r="F11" s="76"/>
      <c r="G11" s="70"/>
      <c r="H11" s="70"/>
      <c r="I11" s="70"/>
      <c r="J11" s="70"/>
      <c r="K11" s="70"/>
      <c r="L11" s="70"/>
      <c r="M11" s="70"/>
      <c r="N11" s="70"/>
      <c r="O11" s="70"/>
      <c r="P11" s="70"/>
      <c r="Q11" s="70"/>
      <c r="R11" s="70"/>
      <c r="S11" s="70"/>
      <c r="T11" s="70"/>
      <c r="U11" s="70"/>
      <c r="V11" s="70"/>
      <c r="W11" s="70"/>
    </row>
    <row r="12" spans="1:26" x14ac:dyDescent="0.65">
      <c r="A12" s="67"/>
      <c r="B12" s="68"/>
      <c r="C12" s="68"/>
      <c r="D12" s="68"/>
      <c r="E12" s="68"/>
      <c r="F12" s="75"/>
      <c r="G12" s="68"/>
      <c r="H12" s="68"/>
      <c r="I12" s="68"/>
      <c r="J12" s="68"/>
      <c r="K12" s="68"/>
      <c r="L12" s="68"/>
      <c r="M12" s="68"/>
      <c r="N12" s="68"/>
      <c r="O12" s="68"/>
      <c r="P12" s="68"/>
      <c r="Q12" s="68"/>
      <c r="R12" s="68"/>
      <c r="S12" s="68"/>
      <c r="T12" s="68"/>
      <c r="U12" s="68"/>
      <c r="V12" s="68"/>
      <c r="W12" s="68"/>
    </row>
    <row r="13" spans="1:26" x14ac:dyDescent="0.65">
      <c r="A13" s="69"/>
      <c r="B13" s="70"/>
      <c r="C13" s="70"/>
      <c r="D13" s="70"/>
      <c r="E13" s="70"/>
      <c r="F13" s="76"/>
      <c r="G13" s="70"/>
      <c r="H13" s="70"/>
      <c r="I13" s="70"/>
      <c r="J13" s="70"/>
      <c r="K13" s="70"/>
      <c r="L13" s="70"/>
      <c r="M13" s="70"/>
      <c r="N13" s="70"/>
      <c r="O13" s="70"/>
      <c r="P13" s="70"/>
      <c r="Q13" s="70"/>
      <c r="R13" s="70"/>
      <c r="S13" s="70"/>
      <c r="T13" s="70"/>
      <c r="U13" s="70"/>
      <c r="V13" s="70"/>
      <c r="W13" s="70"/>
    </row>
    <row r="14" spans="1:26" x14ac:dyDescent="0.65">
      <c r="A14" s="67"/>
      <c r="B14" s="68"/>
      <c r="C14" s="68"/>
      <c r="D14" s="68"/>
      <c r="E14" s="68"/>
      <c r="F14" s="75"/>
      <c r="G14" s="68"/>
      <c r="H14" s="68"/>
      <c r="I14" s="68"/>
      <c r="J14" s="68"/>
      <c r="K14" s="68"/>
      <c r="L14" s="68"/>
      <c r="M14" s="68"/>
      <c r="N14" s="68"/>
      <c r="O14" s="68"/>
      <c r="P14" s="68"/>
      <c r="Q14" s="68"/>
      <c r="R14" s="68"/>
      <c r="S14" s="68"/>
      <c r="T14" s="68"/>
      <c r="U14" s="68"/>
      <c r="V14" s="68"/>
      <c r="W14" s="68"/>
    </row>
    <row r="15" spans="1:26" x14ac:dyDescent="0.65">
      <c r="A15" s="69"/>
      <c r="B15" s="70"/>
      <c r="C15" s="70"/>
      <c r="D15" s="70"/>
      <c r="E15" s="70"/>
      <c r="F15" s="76"/>
      <c r="G15" s="70"/>
      <c r="H15" s="70"/>
      <c r="I15" s="70"/>
      <c r="J15" s="70"/>
      <c r="K15" s="70"/>
      <c r="L15" s="70"/>
      <c r="M15" s="70"/>
      <c r="N15" s="70"/>
      <c r="O15" s="70"/>
      <c r="P15" s="70"/>
      <c r="Q15" s="70"/>
      <c r="R15" s="70"/>
      <c r="S15" s="70"/>
      <c r="T15" s="70"/>
      <c r="U15" s="70"/>
      <c r="V15" s="70"/>
      <c r="W15" s="70"/>
    </row>
    <row r="16" spans="1:26" x14ac:dyDescent="0.65">
      <c r="A16" s="71"/>
      <c r="B16" s="72"/>
      <c r="C16" s="72"/>
      <c r="D16" s="72"/>
      <c r="E16" s="72"/>
      <c r="F16" s="77"/>
      <c r="G16" s="72"/>
      <c r="H16" s="72"/>
      <c r="I16" s="72"/>
      <c r="J16" s="72"/>
      <c r="K16" s="72"/>
      <c r="L16" s="72"/>
      <c r="M16" s="72"/>
      <c r="N16" s="72"/>
      <c r="O16" s="72"/>
      <c r="P16" s="72"/>
      <c r="Q16" s="72"/>
      <c r="R16" s="72"/>
      <c r="S16" s="72"/>
      <c r="T16" s="72"/>
      <c r="U16" s="72"/>
      <c r="V16" s="72"/>
      <c r="W16" s="72"/>
    </row>
  </sheetData>
  <phoneticPr fontId="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CE98-0D53-4522-9127-9D892649CFBD}">
  <dimension ref="A1:E14"/>
  <sheetViews>
    <sheetView workbookViewId="0">
      <selection activeCell="F9" sqref="E9:F9"/>
    </sheetView>
  </sheetViews>
  <sheetFormatPr defaultRowHeight="13.5" x14ac:dyDescent="0.65"/>
  <cols>
    <col min="1" max="1" width="23.6640625" style="12" bestFit="1" customWidth="1"/>
    <col min="2" max="2" width="13.6640625" style="12" bestFit="1" customWidth="1"/>
    <col min="3" max="3" width="13.6640625" style="12" customWidth="1"/>
    <col min="4" max="4" width="25.21875" style="12" bestFit="1" customWidth="1"/>
    <col min="5" max="5" width="41.609375" style="12" customWidth="1"/>
    <col min="6" max="16384" width="8.88671875" style="12"/>
  </cols>
  <sheetData>
    <row r="1" spans="1:5" x14ac:dyDescent="0.65">
      <c r="A1" s="17" t="s">
        <v>4640</v>
      </c>
      <c r="B1" s="17" t="s">
        <v>32</v>
      </c>
      <c r="C1" s="17" t="s">
        <v>34</v>
      </c>
      <c r="D1" s="17" t="s">
        <v>4707</v>
      </c>
      <c r="E1" s="17" t="s">
        <v>4708</v>
      </c>
    </row>
    <row r="2" spans="1:5" x14ac:dyDescent="0.65">
      <c r="A2" s="12">
        <v>0</v>
      </c>
      <c r="B2" s="14" t="s">
        <v>4706</v>
      </c>
      <c r="C2" s="14"/>
      <c r="D2" s="14">
        <v>0</v>
      </c>
      <c r="E2" s="12" t="s">
        <v>4713</v>
      </c>
    </row>
    <row r="3" spans="1:5" x14ac:dyDescent="0.65">
      <c r="A3" s="12">
        <v>1</v>
      </c>
      <c r="B3" s="14" t="s">
        <v>4696</v>
      </c>
      <c r="C3" s="14"/>
      <c r="D3" s="14">
        <v>1</v>
      </c>
      <c r="E3" s="12" t="s">
        <v>4709</v>
      </c>
    </row>
    <row r="4" spans="1:5" x14ac:dyDescent="0.65">
      <c r="A4" s="12">
        <v>2</v>
      </c>
      <c r="B4" s="14" t="s">
        <v>4699</v>
      </c>
      <c r="C4" s="14"/>
      <c r="D4" s="14">
        <v>2</v>
      </c>
      <c r="E4" s="12" t="s">
        <v>4710</v>
      </c>
    </row>
    <row r="5" spans="1:5" x14ac:dyDescent="0.65">
      <c r="A5" s="12">
        <v>3</v>
      </c>
      <c r="B5" s="14" t="s">
        <v>4697</v>
      </c>
      <c r="C5" s="14"/>
      <c r="D5" s="14">
        <v>3</v>
      </c>
      <c r="E5" s="12" t="s">
        <v>4711</v>
      </c>
    </row>
    <row r="6" spans="1:5" x14ac:dyDescent="0.65">
      <c r="A6" s="12">
        <v>4</v>
      </c>
      <c r="B6" s="14" t="s">
        <v>4714</v>
      </c>
      <c r="C6" s="14"/>
      <c r="D6" s="14">
        <v>4</v>
      </c>
      <c r="E6" s="12" t="s">
        <v>4712</v>
      </c>
    </row>
    <row r="7" spans="1:5" x14ac:dyDescent="0.65">
      <c r="B7" s="14"/>
      <c r="C7" s="14"/>
      <c r="D7" s="14"/>
    </row>
    <row r="8" spans="1:5" x14ac:dyDescent="0.65">
      <c r="B8" s="14"/>
      <c r="C8" s="14"/>
      <c r="D8" s="14"/>
    </row>
    <row r="9" spans="1:5" x14ac:dyDescent="0.65">
      <c r="B9" s="14"/>
      <c r="C9" s="14"/>
      <c r="D9" s="14"/>
    </row>
    <row r="10" spans="1:5" x14ac:dyDescent="0.65">
      <c r="B10" s="14"/>
      <c r="C10" s="14"/>
      <c r="D10" s="14"/>
    </row>
    <row r="11" spans="1:5" x14ac:dyDescent="0.65">
      <c r="B11" s="14"/>
      <c r="C11" s="14"/>
      <c r="D11" s="14"/>
    </row>
    <row r="12" spans="1:5" x14ac:dyDescent="0.65">
      <c r="B12" s="14"/>
      <c r="C12" s="14"/>
      <c r="D12" s="14"/>
    </row>
    <row r="13" spans="1:5" x14ac:dyDescent="0.65">
      <c r="B13" s="14"/>
      <c r="C13" s="14"/>
      <c r="D13" s="14"/>
    </row>
    <row r="14" spans="1:5" x14ac:dyDescent="0.65">
      <c r="B14" s="14"/>
      <c r="C14" s="14"/>
      <c r="D14" s="14"/>
    </row>
  </sheetData>
  <phoneticPr fontId="1"/>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94EF-0B87-44F5-B340-61D705D7D12C}">
  <dimension ref="A1:C9"/>
  <sheetViews>
    <sheetView workbookViewId="0">
      <selection activeCell="I31" sqref="I31"/>
    </sheetView>
  </sheetViews>
  <sheetFormatPr defaultRowHeight="13.5" x14ac:dyDescent="0.65"/>
  <cols>
    <col min="1" max="1" width="23.6640625" style="12" bestFit="1" customWidth="1"/>
    <col min="2" max="2" width="13.6640625" style="12" bestFit="1" customWidth="1"/>
    <col min="3" max="3" width="14.109375" style="12" bestFit="1" customWidth="1"/>
    <col min="4" max="16384" width="8.88671875" style="12"/>
  </cols>
  <sheetData>
    <row r="1" spans="1:3" x14ac:dyDescent="0.65">
      <c r="A1" s="17" t="s">
        <v>4646</v>
      </c>
      <c r="B1" s="17" t="s">
        <v>32</v>
      </c>
      <c r="C1" s="17" t="s">
        <v>34</v>
      </c>
    </row>
    <row r="2" spans="1:3" x14ac:dyDescent="0.65">
      <c r="A2" s="12">
        <v>0</v>
      </c>
      <c r="B2" s="14" t="s">
        <v>4715</v>
      </c>
    </row>
    <row r="3" spans="1:3" x14ac:dyDescent="0.65">
      <c r="A3" s="12">
        <v>1</v>
      </c>
      <c r="B3" s="14" t="s">
        <v>4716</v>
      </c>
    </row>
    <row r="4" spans="1:3" x14ac:dyDescent="0.65">
      <c r="A4" s="12">
        <v>2</v>
      </c>
      <c r="B4" s="14" t="s">
        <v>4717</v>
      </c>
    </row>
    <row r="5" spans="1:3" x14ac:dyDescent="0.65">
      <c r="A5" s="12">
        <v>3</v>
      </c>
      <c r="B5" s="14" t="s">
        <v>4718</v>
      </c>
    </row>
    <row r="6" spans="1:3" x14ac:dyDescent="0.65">
      <c r="A6" s="12">
        <v>4</v>
      </c>
      <c r="B6" s="14" t="s">
        <v>4719</v>
      </c>
    </row>
    <row r="7" spans="1:3" x14ac:dyDescent="0.65">
      <c r="A7" s="12">
        <v>5</v>
      </c>
      <c r="B7" s="14" t="s">
        <v>4720</v>
      </c>
    </row>
    <row r="8" spans="1:3" x14ac:dyDescent="0.65">
      <c r="B8" s="14"/>
    </row>
    <row r="9" spans="1:3" x14ac:dyDescent="0.65">
      <c r="B9" s="14"/>
    </row>
  </sheetData>
  <phoneticPr fontId="1"/>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1E91-6C22-4000-87C7-CB75BDEF6C4E}">
  <dimension ref="A1:H70"/>
  <sheetViews>
    <sheetView zoomScale="115" zoomScaleNormal="115" workbookViewId="0">
      <selection activeCell="C9" sqref="C9"/>
    </sheetView>
  </sheetViews>
  <sheetFormatPr defaultRowHeight="13.5" x14ac:dyDescent="0.65"/>
  <cols>
    <col min="1" max="1" width="29.38671875" style="12" bestFit="1" customWidth="1"/>
    <col min="2" max="2" width="23.6640625" style="14" bestFit="1" customWidth="1"/>
    <col min="3" max="3" width="27.1640625" style="14" bestFit="1" customWidth="1"/>
    <col min="4" max="5" width="21.88671875" style="14" bestFit="1" customWidth="1"/>
    <col min="6" max="16384" width="8.88671875" style="12"/>
  </cols>
  <sheetData>
    <row r="1" spans="1:5" x14ac:dyDescent="0.65">
      <c r="A1" s="17" t="s">
        <v>4684</v>
      </c>
      <c r="B1" s="17" t="s">
        <v>32</v>
      </c>
      <c r="C1" s="17" t="s">
        <v>34</v>
      </c>
      <c r="D1" s="17" t="s">
        <v>4689</v>
      </c>
      <c r="E1" s="17" t="s">
        <v>4690</v>
      </c>
    </row>
    <row r="2" spans="1:5" x14ac:dyDescent="0.65">
      <c r="A2" s="12">
        <v>0</v>
      </c>
      <c r="B2" s="14" t="s">
        <v>4721</v>
      </c>
      <c r="C2" s="14" t="s">
        <v>4749</v>
      </c>
      <c r="D2" s="14" t="s">
        <v>4776</v>
      </c>
      <c r="E2" s="14" t="s">
        <v>4746</v>
      </c>
    </row>
    <row r="3" spans="1:5" x14ac:dyDescent="0.65">
      <c r="A3" s="12">
        <v>1</v>
      </c>
      <c r="B3" s="14" t="s">
        <v>4722</v>
      </c>
      <c r="C3" s="14" t="s">
        <v>4747</v>
      </c>
      <c r="D3" s="14" t="s">
        <v>4777</v>
      </c>
      <c r="E3" s="14" t="s">
        <v>4778</v>
      </c>
    </row>
    <row r="4" spans="1:5" x14ac:dyDescent="0.65">
      <c r="A4" s="12">
        <v>2</v>
      </c>
      <c r="B4" s="78" t="s">
        <v>4723</v>
      </c>
      <c r="C4" s="78" t="s">
        <v>4750</v>
      </c>
      <c r="D4" s="14" t="s">
        <v>4750</v>
      </c>
      <c r="E4" s="14" t="s">
        <v>4779</v>
      </c>
    </row>
    <row r="5" spans="1:5" x14ac:dyDescent="0.65">
      <c r="A5" s="12">
        <v>3</v>
      </c>
      <c r="B5" s="78" t="s">
        <v>4724</v>
      </c>
      <c r="C5" s="14" t="s">
        <v>4748</v>
      </c>
      <c r="D5" s="14" t="s">
        <v>4780</v>
      </c>
      <c r="E5" s="14" t="s">
        <v>4781</v>
      </c>
    </row>
    <row r="6" spans="1:5" x14ac:dyDescent="0.65">
      <c r="A6" s="12">
        <v>4</v>
      </c>
      <c r="B6" s="78" t="s">
        <v>4725</v>
      </c>
      <c r="C6" s="14" t="s">
        <v>4751</v>
      </c>
      <c r="D6" s="14" t="s">
        <v>4782</v>
      </c>
      <c r="E6" s="14" t="s">
        <v>4783</v>
      </c>
    </row>
    <row r="7" spans="1:5" x14ac:dyDescent="0.65">
      <c r="A7" s="12">
        <v>5</v>
      </c>
      <c r="B7" s="78" t="s">
        <v>4726</v>
      </c>
      <c r="C7" s="14" t="s">
        <v>4752</v>
      </c>
      <c r="D7" s="14" t="s">
        <v>4784</v>
      </c>
      <c r="E7" s="14" t="s">
        <v>4785</v>
      </c>
    </row>
    <row r="8" spans="1:5" x14ac:dyDescent="0.65">
      <c r="A8" s="12">
        <v>6</v>
      </c>
      <c r="B8" s="78" t="s">
        <v>4727</v>
      </c>
      <c r="C8" s="14" t="s">
        <v>4753</v>
      </c>
      <c r="D8" s="14" t="s">
        <v>4786</v>
      </c>
      <c r="E8" s="14" t="s">
        <v>4787</v>
      </c>
    </row>
    <row r="9" spans="1:5" x14ac:dyDescent="0.65">
      <c r="A9" s="12">
        <v>7</v>
      </c>
      <c r="B9" s="78" t="s">
        <v>4728</v>
      </c>
      <c r="C9" s="14" t="s">
        <v>4754</v>
      </c>
      <c r="D9" s="14" t="s">
        <v>4788</v>
      </c>
      <c r="E9" s="14" t="s">
        <v>4789</v>
      </c>
    </row>
    <row r="10" spans="1:5" x14ac:dyDescent="0.65">
      <c r="A10" s="12">
        <v>8</v>
      </c>
      <c r="B10" s="78" t="s">
        <v>4729</v>
      </c>
      <c r="C10" s="14" t="s">
        <v>4755</v>
      </c>
      <c r="D10" s="14" t="s">
        <v>4790</v>
      </c>
      <c r="E10" s="14" t="s">
        <v>4791</v>
      </c>
    </row>
    <row r="11" spans="1:5" x14ac:dyDescent="0.65">
      <c r="A11" s="12">
        <v>9</v>
      </c>
      <c r="B11" s="78" t="s">
        <v>4730</v>
      </c>
      <c r="C11" s="14" t="s">
        <v>4756</v>
      </c>
      <c r="D11" s="14" t="s">
        <v>4792</v>
      </c>
      <c r="E11" s="14" t="s">
        <v>4793</v>
      </c>
    </row>
    <row r="12" spans="1:5" x14ac:dyDescent="0.65">
      <c r="A12" s="12">
        <v>10</v>
      </c>
      <c r="B12" s="78" t="s">
        <v>4731</v>
      </c>
      <c r="C12" s="14" t="s">
        <v>4757</v>
      </c>
      <c r="D12" s="14" t="s">
        <v>4794</v>
      </c>
      <c r="E12" s="14" t="s">
        <v>4795</v>
      </c>
    </row>
    <row r="13" spans="1:5" x14ac:dyDescent="0.65">
      <c r="A13" s="12">
        <v>11</v>
      </c>
      <c r="B13" s="78" t="s">
        <v>4732</v>
      </c>
      <c r="C13" s="14" t="s">
        <v>4758</v>
      </c>
      <c r="D13" s="14" t="s">
        <v>4796</v>
      </c>
      <c r="E13" s="14" t="s">
        <v>4797</v>
      </c>
    </row>
    <row r="14" spans="1:5" x14ac:dyDescent="0.65">
      <c r="A14" s="12">
        <v>12</v>
      </c>
      <c r="B14" s="78" t="s">
        <v>4733</v>
      </c>
      <c r="C14" s="14" t="s">
        <v>4759</v>
      </c>
      <c r="D14" s="14" t="s">
        <v>4798</v>
      </c>
      <c r="E14" s="14" t="s">
        <v>4799</v>
      </c>
    </row>
    <row r="15" spans="1:5" x14ac:dyDescent="0.65">
      <c r="A15" s="12">
        <v>13</v>
      </c>
      <c r="B15" s="78" t="s">
        <v>4734</v>
      </c>
      <c r="C15" s="14" t="s">
        <v>4760</v>
      </c>
      <c r="D15" s="14" t="s">
        <v>4800</v>
      </c>
      <c r="E15" s="14" t="s">
        <v>4801</v>
      </c>
    </row>
    <row r="16" spans="1:5" x14ac:dyDescent="0.65">
      <c r="A16" s="12">
        <v>14</v>
      </c>
      <c r="B16" s="78" t="s">
        <v>4735</v>
      </c>
      <c r="C16" s="14" t="s">
        <v>4761</v>
      </c>
      <c r="D16" s="14" t="s">
        <v>4779</v>
      </c>
      <c r="E16" s="14" t="s">
        <v>4779</v>
      </c>
    </row>
    <row r="17" spans="1:8" x14ac:dyDescent="0.65">
      <c r="A17" s="12">
        <v>15</v>
      </c>
      <c r="B17" s="78" t="s">
        <v>4736</v>
      </c>
      <c r="C17" s="14" t="s">
        <v>4762</v>
      </c>
      <c r="D17" s="14" t="s">
        <v>4802</v>
      </c>
      <c r="E17" s="14" t="s">
        <v>4803</v>
      </c>
    </row>
    <row r="18" spans="1:8" x14ac:dyDescent="0.65">
      <c r="A18" s="12">
        <v>16</v>
      </c>
      <c r="B18" s="78" t="s">
        <v>4737</v>
      </c>
      <c r="C18" s="14" t="s">
        <v>4763</v>
      </c>
      <c r="D18" s="14" t="s">
        <v>4804</v>
      </c>
      <c r="E18" s="14" t="s">
        <v>4805</v>
      </c>
    </row>
    <row r="19" spans="1:8" x14ac:dyDescent="0.65">
      <c r="A19" s="12">
        <v>17</v>
      </c>
      <c r="B19" s="78" t="s">
        <v>4738</v>
      </c>
      <c r="C19" s="14" t="s">
        <v>4764</v>
      </c>
      <c r="D19" s="14" t="s">
        <v>4806</v>
      </c>
      <c r="E19" s="14" t="s">
        <v>4807</v>
      </c>
    </row>
    <row r="20" spans="1:8" x14ac:dyDescent="0.65">
      <c r="A20" s="12">
        <v>18</v>
      </c>
      <c r="B20" s="78" t="s">
        <v>4739</v>
      </c>
      <c r="C20" s="14" t="s">
        <v>4765</v>
      </c>
      <c r="D20" s="14" t="s">
        <v>4808</v>
      </c>
      <c r="E20" s="14" t="s">
        <v>4809</v>
      </c>
    </row>
    <row r="21" spans="1:8" x14ac:dyDescent="0.65">
      <c r="A21" s="12">
        <v>19</v>
      </c>
      <c r="B21" s="78" t="s">
        <v>4740</v>
      </c>
      <c r="C21" s="14" t="s">
        <v>4766</v>
      </c>
      <c r="D21" s="14" t="s">
        <v>4810</v>
      </c>
      <c r="E21" s="14" t="s">
        <v>4811</v>
      </c>
    </row>
    <row r="22" spans="1:8" x14ac:dyDescent="0.65">
      <c r="A22" s="12">
        <v>20</v>
      </c>
      <c r="B22" s="14" t="s">
        <v>4741</v>
      </c>
      <c r="C22" s="14" t="s">
        <v>4767</v>
      </c>
      <c r="D22" s="14" t="s">
        <v>4812</v>
      </c>
      <c r="E22" s="14" t="s">
        <v>4813</v>
      </c>
    </row>
    <row r="23" spans="1:8" x14ac:dyDescent="0.65">
      <c r="A23" s="12">
        <v>21</v>
      </c>
      <c r="B23" s="14" t="s">
        <v>4738</v>
      </c>
      <c r="C23" s="14" t="s">
        <v>4764</v>
      </c>
      <c r="D23" s="14" t="s">
        <v>4806</v>
      </c>
      <c r="E23" s="14" t="s">
        <v>4807</v>
      </c>
    </row>
    <row r="24" spans="1:8" x14ac:dyDescent="0.65">
      <c r="A24" s="12">
        <v>22</v>
      </c>
      <c r="B24" s="14" t="s">
        <v>4742</v>
      </c>
      <c r="C24" s="14" t="s">
        <v>4768</v>
      </c>
      <c r="D24" s="14" t="s">
        <v>4814</v>
      </c>
      <c r="E24" s="14" t="s">
        <v>4815</v>
      </c>
    </row>
    <row r="25" spans="1:8" x14ac:dyDescent="0.65">
      <c r="A25" s="12">
        <v>23</v>
      </c>
      <c r="B25" s="14" t="s">
        <v>4743</v>
      </c>
      <c r="C25" s="14" t="s">
        <v>4769</v>
      </c>
      <c r="D25" s="14" t="s">
        <v>4816</v>
      </c>
      <c r="E25" s="14" t="s">
        <v>4817</v>
      </c>
    </row>
    <row r="26" spans="1:8" x14ac:dyDescent="0.65">
      <c r="A26" s="12">
        <v>24</v>
      </c>
      <c r="B26" s="14" t="s">
        <v>4772</v>
      </c>
      <c r="C26" s="14" t="s">
        <v>4774</v>
      </c>
      <c r="D26" s="14" t="s">
        <v>4822</v>
      </c>
      <c r="E26" s="14" t="s">
        <v>4823</v>
      </c>
    </row>
    <row r="27" spans="1:8" x14ac:dyDescent="0.65">
      <c r="A27" s="12">
        <v>25</v>
      </c>
      <c r="B27" s="14" t="s">
        <v>4773</v>
      </c>
      <c r="C27" s="14" t="s">
        <v>4775</v>
      </c>
      <c r="D27" s="14" t="s">
        <v>4824</v>
      </c>
      <c r="E27" s="14" t="s">
        <v>4825</v>
      </c>
    </row>
    <row r="28" spans="1:8" x14ac:dyDescent="0.65">
      <c r="A28" s="12">
        <v>26</v>
      </c>
      <c r="B28" s="14" t="s">
        <v>4744</v>
      </c>
      <c r="C28" s="14" t="s">
        <v>4770</v>
      </c>
      <c r="D28" s="14" t="s">
        <v>4818</v>
      </c>
      <c r="E28" s="14" t="s">
        <v>4819</v>
      </c>
    </row>
    <row r="29" spans="1:8" x14ac:dyDescent="0.65">
      <c r="A29" s="12">
        <v>27</v>
      </c>
      <c r="B29" s="14" t="s">
        <v>4745</v>
      </c>
      <c r="C29" s="14" t="s">
        <v>4771</v>
      </c>
      <c r="D29" s="14" t="s">
        <v>4820</v>
      </c>
      <c r="E29" s="14" t="s">
        <v>4821</v>
      </c>
    </row>
    <row r="32" spans="1:8" x14ac:dyDescent="0.65">
      <c r="H32" s="14"/>
    </row>
    <row r="33" spans="1:8" x14ac:dyDescent="0.65">
      <c r="H33" s="14"/>
    </row>
    <row r="34" spans="1:8" x14ac:dyDescent="0.65">
      <c r="H34" s="78"/>
    </row>
    <row r="35" spans="1:8" x14ac:dyDescent="0.65">
      <c r="H35" s="78"/>
    </row>
    <row r="36" spans="1:8" x14ac:dyDescent="0.65">
      <c r="H36" s="78"/>
    </row>
    <row r="37" spans="1:8" x14ac:dyDescent="0.65">
      <c r="H37" s="78"/>
    </row>
    <row r="38" spans="1:8" x14ac:dyDescent="0.65">
      <c r="H38" s="78"/>
    </row>
    <row r="39" spans="1:8" x14ac:dyDescent="0.65">
      <c r="H39" s="78"/>
    </row>
    <row r="40" spans="1:8" x14ac:dyDescent="0.65">
      <c r="H40" s="78"/>
    </row>
    <row r="41" spans="1:8" x14ac:dyDescent="0.65">
      <c r="H41" s="78"/>
    </row>
    <row r="42" spans="1:8" x14ac:dyDescent="0.65">
      <c r="H42" s="78"/>
    </row>
    <row r="43" spans="1:8" ht="14.7" x14ac:dyDescent="0.65">
      <c r="A43" s="81"/>
      <c r="B43" s="81"/>
      <c r="C43" s="81"/>
      <c r="D43" s="81"/>
      <c r="H43" s="78"/>
    </row>
    <row r="44" spans="1:8" ht="14.7" x14ac:dyDescent="0.65">
      <c r="A44" s="79"/>
      <c r="B44" s="80"/>
      <c r="C44" s="80"/>
      <c r="D44" s="80"/>
      <c r="H44" s="78"/>
    </row>
    <row r="45" spans="1:8" ht="14.7" x14ac:dyDescent="0.65">
      <c r="A45" s="79"/>
      <c r="B45" s="80"/>
      <c r="C45" s="80"/>
      <c r="D45" s="80"/>
      <c r="H45" s="78"/>
    </row>
    <row r="46" spans="1:8" ht="14.7" x14ac:dyDescent="0.65">
      <c r="A46" s="79"/>
      <c r="B46" s="80"/>
      <c r="C46" s="80"/>
      <c r="D46" s="80"/>
      <c r="H46" s="78"/>
    </row>
    <row r="47" spans="1:8" ht="14.7" x14ac:dyDescent="0.65">
      <c r="A47" s="79"/>
      <c r="B47" s="80"/>
      <c r="C47" s="80"/>
      <c r="D47" s="80"/>
      <c r="H47" s="78"/>
    </row>
    <row r="48" spans="1:8" ht="14.7" x14ac:dyDescent="0.65">
      <c r="A48" s="79"/>
      <c r="B48" s="80"/>
      <c r="C48" s="80"/>
      <c r="D48" s="80"/>
      <c r="H48" s="78"/>
    </row>
    <row r="49" spans="1:8" ht="14.7" x14ac:dyDescent="0.65">
      <c r="A49" s="79"/>
      <c r="B49" s="80"/>
      <c r="C49" s="80"/>
      <c r="D49" s="80"/>
      <c r="H49" s="78"/>
    </row>
    <row r="50" spans="1:8" ht="14.7" x14ac:dyDescent="0.65">
      <c r="A50" s="79"/>
      <c r="B50" s="80"/>
      <c r="C50" s="80"/>
      <c r="D50" s="80"/>
      <c r="H50" s="78"/>
    </row>
    <row r="51" spans="1:8" ht="14.7" x14ac:dyDescent="0.65">
      <c r="A51" s="79"/>
      <c r="B51" s="80"/>
      <c r="C51" s="80"/>
      <c r="D51" s="80"/>
      <c r="H51" s="78"/>
    </row>
    <row r="52" spans="1:8" ht="14.7" x14ac:dyDescent="0.65">
      <c r="A52" s="79"/>
      <c r="B52" s="80"/>
      <c r="C52" s="80"/>
      <c r="D52" s="80"/>
      <c r="H52" s="14"/>
    </row>
    <row r="53" spans="1:8" ht="14.7" x14ac:dyDescent="0.65">
      <c r="A53" s="79"/>
      <c r="B53" s="80"/>
      <c r="C53" s="80"/>
      <c r="D53" s="80"/>
      <c r="H53" s="14"/>
    </row>
    <row r="54" spans="1:8" ht="14.7" x14ac:dyDescent="0.65">
      <c r="A54" s="79"/>
      <c r="B54" s="80"/>
      <c r="C54" s="80"/>
      <c r="D54" s="80"/>
      <c r="H54" s="14"/>
    </row>
    <row r="55" spans="1:8" ht="14.7" x14ac:dyDescent="0.65">
      <c r="A55" s="79"/>
      <c r="B55" s="80"/>
      <c r="C55" s="80"/>
      <c r="D55" s="80"/>
      <c r="H55" s="14"/>
    </row>
    <row r="56" spans="1:8" ht="14.7" x14ac:dyDescent="0.65">
      <c r="A56" s="79"/>
      <c r="B56" s="80"/>
      <c r="C56" s="80"/>
      <c r="D56" s="80"/>
      <c r="H56" s="14"/>
    </row>
    <row r="57" spans="1:8" ht="14.7" x14ac:dyDescent="0.65">
      <c r="A57" s="79"/>
      <c r="B57" s="80"/>
      <c r="C57" s="80"/>
      <c r="D57" s="80"/>
      <c r="H57" s="14"/>
    </row>
    <row r="58" spans="1:8" ht="14.7" x14ac:dyDescent="0.65">
      <c r="A58" s="79"/>
      <c r="B58" s="80"/>
      <c r="C58" s="80"/>
      <c r="D58" s="80"/>
      <c r="H58" s="14"/>
    </row>
    <row r="59" spans="1:8" ht="14.7" x14ac:dyDescent="0.65">
      <c r="A59" s="79"/>
      <c r="B59" s="80"/>
      <c r="C59" s="80"/>
      <c r="D59" s="80"/>
    </row>
    <row r="60" spans="1:8" ht="14.7" x14ac:dyDescent="0.65">
      <c r="A60" s="79"/>
      <c r="B60" s="80"/>
      <c r="C60" s="80"/>
      <c r="D60" s="80"/>
    </row>
    <row r="61" spans="1:8" ht="14.7" x14ac:dyDescent="0.65">
      <c r="A61" s="79"/>
      <c r="B61" s="80"/>
      <c r="C61" s="80"/>
      <c r="D61" s="80"/>
    </row>
    <row r="62" spans="1:8" ht="14.7" x14ac:dyDescent="0.65">
      <c r="A62" s="79"/>
      <c r="B62" s="80"/>
      <c r="C62" s="80"/>
      <c r="D62" s="80"/>
    </row>
    <row r="63" spans="1:8" ht="14.7" x14ac:dyDescent="0.65">
      <c r="A63" s="79"/>
      <c r="B63" s="80"/>
      <c r="C63" s="80"/>
      <c r="D63" s="80"/>
    </row>
    <row r="64" spans="1:8" ht="14.7" x14ac:dyDescent="0.65">
      <c r="A64" s="79"/>
      <c r="B64" s="80"/>
      <c r="C64" s="80"/>
      <c r="D64" s="80"/>
    </row>
    <row r="65" spans="1:4" ht="14.7" x14ac:dyDescent="0.65">
      <c r="A65" s="79"/>
      <c r="B65" s="80"/>
      <c r="C65" s="80"/>
      <c r="D65" s="80"/>
    </row>
    <row r="66" spans="1:4" ht="14.7" x14ac:dyDescent="0.65">
      <c r="A66" s="79"/>
      <c r="B66" s="80"/>
      <c r="C66" s="80"/>
      <c r="D66" s="80"/>
    </row>
    <row r="67" spans="1:4" ht="14.7" x14ac:dyDescent="0.65">
      <c r="A67" s="79"/>
      <c r="B67" s="80"/>
      <c r="C67" s="80"/>
      <c r="D67" s="80"/>
    </row>
    <row r="68" spans="1:4" ht="14.7" x14ac:dyDescent="0.65">
      <c r="A68" s="79"/>
      <c r="B68" s="80"/>
      <c r="C68" s="80"/>
      <c r="D68" s="80"/>
    </row>
    <row r="69" spans="1:4" ht="14.7" x14ac:dyDescent="0.65">
      <c r="A69" s="79"/>
      <c r="B69" s="80"/>
      <c r="C69" s="80"/>
      <c r="D69" s="80"/>
    </row>
    <row r="70" spans="1:4" ht="14.7" x14ac:dyDescent="0.65">
      <c r="A70" s="79"/>
      <c r="B70" s="80"/>
      <c r="C70" s="80"/>
      <c r="D70" s="80"/>
    </row>
  </sheetData>
  <phoneticPr fontId="1"/>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CB014-5410-42D1-920B-975D7B58B14B}">
  <dimension ref="A1:D12"/>
  <sheetViews>
    <sheetView topLeftCell="A4" workbookViewId="0">
      <selection activeCell="C9" sqref="C9"/>
    </sheetView>
  </sheetViews>
  <sheetFormatPr defaultRowHeight="13.5" x14ac:dyDescent="0.65"/>
  <cols>
    <col min="1" max="1" width="31.88671875" style="12" customWidth="1"/>
    <col min="2" max="2" width="13.6640625" style="12" customWidth="1"/>
    <col min="3" max="3" width="14.109375" style="12" bestFit="1" customWidth="1"/>
    <col min="4" max="4" width="14.5" style="12" bestFit="1" customWidth="1"/>
    <col min="5" max="16384" width="8.88671875" style="12"/>
  </cols>
  <sheetData>
    <row r="1" spans="1:4" x14ac:dyDescent="0.65">
      <c r="A1" s="17" t="s">
        <v>4680</v>
      </c>
      <c r="B1" s="17" t="s">
        <v>32</v>
      </c>
      <c r="C1" s="17" t="s">
        <v>34</v>
      </c>
      <c r="D1" s="17" t="s">
        <v>4671</v>
      </c>
    </row>
    <row r="2" spans="1:4" x14ac:dyDescent="0.65">
      <c r="A2" s="12">
        <v>0</v>
      </c>
      <c r="B2" s="14" t="s">
        <v>4826</v>
      </c>
      <c r="C2" s="14"/>
    </row>
    <row r="3" spans="1:4" x14ac:dyDescent="0.65">
      <c r="A3" s="12">
        <v>1</v>
      </c>
      <c r="B3" s="14" t="s">
        <v>4827</v>
      </c>
      <c r="C3" s="14"/>
    </row>
    <row r="4" spans="1:4" x14ac:dyDescent="0.65">
      <c r="A4" s="12">
        <v>2</v>
      </c>
      <c r="B4" s="14" t="s">
        <v>4828</v>
      </c>
      <c r="C4" s="14"/>
    </row>
    <row r="5" spans="1:4" x14ac:dyDescent="0.65">
      <c r="A5" s="12">
        <v>3</v>
      </c>
      <c r="B5" s="14" t="s">
        <v>4829</v>
      </c>
      <c r="C5" s="14"/>
    </row>
    <row r="6" spans="1:4" x14ac:dyDescent="0.65">
      <c r="A6" s="12">
        <v>4</v>
      </c>
      <c r="B6" s="14" t="s">
        <v>4830</v>
      </c>
      <c r="C6" s="14"/>
    </row>
    <row r="7" spans="1:4" x14ac:dyDescent="0.65">
      <c r="B7" s="14"/>
      <c r="C7" s="14"/>
    </row>
    <row r="8" spans="1:4" x14ac:dyDescent="0.65">
      <c r="B8" s="14"/>
      <c r="C8" s="14"/>
    </row>
    <row r="9" spans="1:4" x14ac:dyDescent="0.65">
      <c r="B9" s="14"/>
      <c r="C9" s="14"/>
    </row>
    <row r="10" spans="1:4" x14ac:dyDescent="0.65">
      <c r="B10" s="14"/>
      <c r="C10" s="14"/>
    </row>
    <row r="11" spans="1:4" x14ac:dyDescent="0.65">
      <c r="B11" s="14"/>
      <c r="C11" s="14"/>
    </row>
    <row r="12" spans="1:4" x14ac:dyDescent="0.65">
      <c r="B12" s="14"/>
      <c r="C12" s="14"/>
    </row>
  </sheetData>
  <phoneticPr fontId="1"/>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B3BD-0A16-4B1E-B8E3-0FBAEBE8FAF7}">
  <dimension ref="A1:C10"/>
  <sheetViews>
    <sheetView workbookViewId="0">
      <selection activeCell="A7" sqref="A7"/>
    </sheetView>
  </sheetViews>
  <sheetFormatPr defaultRowHeight="13.5" x14ac:dyDescent="0.65"/>
  <cols>
    <col min="1" max="1" width="25.88671875" style="12" bestFit="1" customWidth="1"/>
    <col min="2" max="2" width="13.6640625" style="12" bestFit="1" customWidth="1"/>
    <col min="3" max="3" width="14.109375" style="12" bestFit="1" customWidth="1"/>
    <col min="4" max="16384" width="8.88671875" style="12"/>
  </cols>
  <sheetData>
    <row r="1" spans="1:3" x14ac:dyDescent="0.65">
      <c r="A1" s="17" t="s">
        <v>4681</v>
      </c>
      <c r="B1" s="17" t="s">
        <v>32</v>
      </c>
      <c r="C1" s="17" t="s">
        <v>34</v>
      </c>
    </row>
    <row r="2" spans="1:3" x14ac:dyDescent="0.65">
      <c r="A2" s="12">
        <v>0</v>
      </c>
      <c r="B2" s="14" t="s">
        <v>4831</v>
      </c>
    </row>
    <row r="3" spans="1:3" x14ac:dyDescent="0.65">
      <c r="A3" s="12">
        <v>1</v>
      </c>
      <c r="B3" s="14" t="s">
        <v>4832</v>
      </c>
    </row>
    <row r="4" spans="1:3" x14ac:dyDescent="0.65">
      <c r="A4" s="12">
        <v>2</v>
      </c>
      <c r="B4" s="14" t="s">
        <v>4833</v>
      </c>
    </row>
    <row r="5" spans="1:3" x14ac:dyDescent="0.65">
      <c r="A5" s="12">
        <v>3</v>
      </c>
      <c r="B5" s="14" t="s">
        <v>4834</v>
      </c>
    </row>
    <row r="6" spans="1:3" x14ac:dyDescent="0.65">
      <c r="A6" s="12">
        <v>4</v>
      </c>
      <c r="B6" s="14" t="s">
        <v>4835</v>
      </c>
    </row>
    <row r="7" spans="1:3" x14ac:dyDescent="0.65">
      <c r="B7" s="14"/>
    </row>
    <row r="8" spans="1:3" x14ac:dyDescent="0.65">
      <c r="B8" s="14"/>
    </row>
    <row r="9" spans="1:3" x14ac:dyDescent="0.65">
      <c r="B9" s="14"/>
    </row>
    <row r="10" spans="1:3" x14ac:dyDescent="0.65">
      <c r="B10" s="14"/>
    </row>
  </sheetData>
  <phoneticPr fontId="1"/>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C7C3-70AE-4133-82CC-8D4E57380DA5}">
  <dimension ref="A1:C5"/>
  <sheetViews>
    <sheetView workbookViewId="0">
      <selection activeCell="F15" sqref="F15"/>
    </sheetView>
  </sheetViews>
  <sheetFormatPr defaultRowHeight="13.5" x14ac:dyDescent="0.65"/>
  <cols>
    <col min="1" max="1" width="22.44140625" style="12" bestFit="1" customWidth="1"/>
    <col min="2" max="2" width="15.21875" style="12" bestFit="1" customWidth="1"/>
    <col min="3" max="3" width="14.109375" style="12" bestFit="1" customWidth="1"/>
    <col min="4" max="16384" width="8.88671875" style="12"/>
  </cols>
  <sheetData>
    <row r="1" spans="1:3" x14ac:dyDescent="0.65">
      <c r="A1" s="17" t="s">
        <v>4682</v>
      </c>
      <c r="B1" s="17" t="s">
        <v>32</v>
      </c>
      <c r="C1" s="17" t="s">
        <v>34</v>
      </c>
    </row>
    <row r="2" spans="1:3" x14ac:dyDescent="0.65">
      <c r="A2" s="12">
        <v>0</v>
      </c>
      <c r="B2" s="14" t="s">
        <v>4836</v>
      </c>
    </row>
    <row r="3" spans="1:3" x14ac:dyDescent="0.65">
      <c r="A3" s="12">
        <v>1</v>
      </c>
      <c r="B3" s="14" t="s">
        <v>4837</v>
      </c>
    </row>
    <row r="4" spans="1:3" x14ac:dyDescent="0.65">
      <c r="A4" s="12">
        <v>2</v>
      </c>
      <c r="B4" s="14" t="s">
        <v>4838</v>
      </c>
    </row>
    <row r="5" spans="1:3" x14ac:dyDescent="0.65">
      <c r="A5" s="12">
        <v>3</v>
      </c>
      <c r="B5" s="14" t="s">
        <v>4839</v>
      </c>
    </row>
  </sheetData>
  <phoneticPr fontId="1"/>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3D595-B630-4B88-AE65-E299F9817E52}">
  <dimension ref="A1:C4"/>
  <sheetViews>
    <sheetView workbookViewId="0">
      <selection activeCell="B4" sqref="B4"/>
    </sheetView>
  </sheetViews>
  <sheetFormatPr defaultRowHeight="14.7" x14ac:dyDescent="0.65"/>
  <cols>
    <col min="1" max="1" width="18.38671875" bestFit="1" customWidth="1"/>
    <col min="2" max="2" width="13.6640625" bestFit="1" customWidth="1"/>
    <col min="3" max="3" width="14.109375" bestFit="1" customWidth="1"/>
  </cols>
  <sheetData>
    <row r="1" spans="1:3" x14ac:dyDescent="0.65">
      <c r="A1" s="17" t="s">
        <v>4686</v>
      </c>
      <c r="B1" s="17" t="s">
        <v>32</v>
      </c>
      <c r="C1" s="17" t="s">
        <v>34</v>
      </c>
    </row>
    <row r="2" spans="1:3" x14ac:dyDescent="0.65">
      <c r="A2" s="12">
        <v>0</v>
      </c>
      <c r="B2" s="14" t="s">
        <v>4840</v>
      </c>
      <c r="C2" s="12"/>
    </row>
    <row r="3" spans="1:3" x14ac:dyDescent="0.65">
      <c r="A3" s="12">
        <v>1</v>
      </c>
      <c r="B3" s="14" t="s">
        <v>4643</v>
      </c>
      <c r="C3" s="12"/>
    </row>
    <row r="4" spans="1:3" x14ac:dyDescent="0.65">
      <c r="A4" s="12">
        <v>2</v>
      </c>
      <c r="B4" s="14" t="s">
        <v>4841</v>
      </c>
      <c r="C4" s="12"/>
    </row>
  </sheetData>
  <phoneticPr fontId="1"/>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3B5D-7E9E-4961-9EB9-C77B6D8845CB}">
  <dimension ref="A1:C8"/>
  <sheetViews>
    <sheetView workbookViewId="0">
      <selection activeCell="G15" sqref="G15"/>
    </sheetView>
  </sheetViews>
  <sheetFormatPr defaultRowHeight="13.5" x14ac:dyDescent="0.65"/>
  <cols>
    <col min="1" max="1" width="27.27734375" style="12" bestFit="1" customWidth="1"/>
    <col min="2" max="2" width="13.6640625" style="12" bestFit="1" customWidth="1"/>
    <col min="3" max="3" width="14.109375" style="14" bestFit="1" customWidth="1"/>
    <col min="4" max="16384" width="8.88671875" style="12"/>
  </cols>
  <sheetData>
    <row r="1" spans="1:3" x14ac:dyDescent="0.65">
      <c r="A1" s="17" t="s">
        <v>4683</v>
      </c>
      <c r="B1" s="17" t="s">
        <v>32</v>
      </c>
      <c r="C1" s="17" t="s">
        <v>34</v>
      </c>
    </row>
    <row r="2" spans="1:3" x14ac:dyDescent="0.65">
      <c r="A2" s="12">
        <v>0</v>
      </c>
      <c r="B2" s="14" t="s">
        <v>4842</v>
      </c>
      <c r="C2" s="14" t="s">
        <v>4848</v>
      </c>
    </row>
    <row r="3" spans="1:3" x14ac:dyDescent="0.65">
      <c r="A3" s="12">
        <v>1</v>
      </c>
      <c r="B3" s="14" t="s">
        <v>4843</v>
      </c>
      <c r="C3" s="14" t="s">
        <v>4849</v>
      </c>
    </row>
    <row r="4" spans="1:3" x14ac:dyDescent="0.65">
      <c r="A4" s="12">
        <v>2</v>
      </c>
      <c r="B4" s="14" t="s">
        <v>4844</v>
      </c>
      <c r="C4" s="14" t="s">
        <v>4850</v>
      </c>
    </row>
    <row r="5" spans="1:3" x14ac:dyDescent="0.65">
      <c r="A5" s="12">
        <v>3</v>
      </c>
      <c r="B5" s="14" t="s">
        <v>4845</v>
      </c>
      <c r="C5" s="14" t="s">
        <v>4851</v>
      </c>
    </row>
    <row r="6" spans="1:3" x14ac:dyDescent="0.65">
      <c r="A6" s="12">
        <v>4</v>
      </c>
      <c r="B6" s="14" t="s">
        <v>4846</v>
      </c>
      <c r="C6" s="14" t="s">
        <v>4852</v>
      </c>
    </row>
    <row r="7" spans="1:3" x14ac:dyDescent="0.65">
      <c r="A7" s="12">
        <v>5</v>
      </c>
      <c r="B7" s="14" t="s">
        <v>4847</v>
      </c>
      <c r="C7" s="14" t="s">
        <v>4853</v>
      </c>
    </row>
    <row r="8" spans="1:3" x14ac:dyDescent="0.65">
      <c r="A8" s="12">
        <v>6</v>
      </c>
      <c r="B8" s="14" t="s">
        <v>4854</v>
      </c>
      <c r="C8" s="14" t="s">
        <v>4855</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4259E7179A857429A21E0A5E5254444" ma:contentTypeVersion="3" ma:contentTypeDescription="新しいドキュメントを作成します。" ma:contentTypeScope="" ma:versionID="614786c67937aa93116a3568c1f77444">
  <xsd:schema xmlns:xsd="http://www.w3.org/2001/XMLSchema" xmlns:xs="http://www.w3.org/2001/XMLSchema" xmlns:p="http://schemas.microsoft.com/office/2006/metadata/properties" xmlns:ns2="aefa980d-996c-4e7f-8a77-42945d3bd68f" targetNamespace="http://schemas.microsoft.com/office/2006/metadata/properties" ma:root="true" ma:fieldsID="94f21c55402407731ecb4df66d243113" ns2:_="">
    <xsd:import namespace="aefa980d-996c-4e7f-8a77-42945d3bd68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fa980d-996c-4e7f-8a77-42945d3bd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4C097C-2ADF-4878-B518-9271BD64BFCE}">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aefa980d-996c-4e7f-8a77-42945d3bd68f"/>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CFDDCFD-AFC0-429D-9F54-AC2FBC9BEE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fa980d-996c-4e7f-8a77-42945d3bd6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6DDADC-C92D-4C99-814D-6753B5883E51}">
  <ds:schemaRefs>
    <ds:schemaRef ds:uri="http://schemas.microsoft.com/sharepoint/v3/contenttype/forms"/>
  </ds:schemaRefs>
</ds:datastoreItem>
</file>

<file path=docMetadata/LabelInfo.xml><?xml version="1.0" encoding="utf-8"?>
<clbl:labelList xmlns:clbl="http://schemas.microsoft.com/office/2020/mipLabelMetadata">
  <clbl:label id="{549229e1-d9eb-40cf-aa20-8039fe5d6144}" enabled="1" method="Standard" siteId="{3ce358ea-700e-4f0f-bb37-fd0b7c21366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vt:i4>
      </vt:variant>
    </vt:vector>
  </HeadingPairs>
  <TitlesOfParts>
    <vt:vector size="17" baseType="lpstr">
      <vt:lpstr>&lt;SQL&gt; </vt:lpstr>
      <vt:lpstr>Table&gt;</vt:lpstr>
      <vt:lpstr>tbl_rules</vt:lpstr>
      <vt:lpstr>tbl_cat_type</vt:lpstr>
      <vt:lpstr>tbl_cat_major</vt:lpstr>
      <vt:lpstr>tbl_cat_sub</vt:lpstr>
      <vt:lpstr>tbl_cat_state</vt:lpstr>
      <vt:lpstr>tbl_request</vt:lpstr>
      <vt:lpstr>tbl_cat_request</vt:lpstr>
      <vt:lpstr>tbl_cat_phase</vt:lpstr>
      <vt:lpstr>tbl_scp_sales_region</vt:lpstr>
      <vt:lpstr>tbl_scp_product_genre</vt:lpstr>
      <vt:lpstr>tbl_scp_service_genre</vt:lpstr>
      <vt:lpstr>tbl_scp_equipment</vt:lpstr>
      <vt:lpstr>tbl_scp_pii</vt:lpstr>
      <vt:lpstr>tbl_scp_design_domain</vt:lpstr>
      <vt:lpstr>SQLリスト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Kurota Ippei</dc:creator>
  <cp:keywords/>
  <dc:description/>
  <cp:lastModifiedBy>一平 黒田</cp:lastModifiedBy>
  <cp:revision/>
  <cp:lastPrinted>2025-12-14T09:30:07Z</cp:lastPrinted>
  <dcterms:created xsi:type="dcterms:W3CDTF">2025-10-16T05:33:51Z</dcterms:created>
  <dcterms:modified xsi:type="dcterms:W3CDTF">2025-12-16T14:56:59Z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0x010100A4259E7179A857429A21E0A5E5254444</vt:lpwstr>
  </property>
</Properties>
</file>